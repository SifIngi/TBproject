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/>
  <mc:AlternateContent xmlns:mc="http://schemas.openxmlformats.org/markup-compatibility/2006">
    <mc:Choice Requires="x15">
      <x15ac:absPath xmlns:x15ac="http://schemas.microsoft.com/office/spreadsheetml/2010/11/ac" url="/Users/sifingibergsdottir/Documents/Kvantitativ Biologi og sygdomsmodellering/4 Semester/Dynamiske Biologiske Modellering 2/"/>
    </mc:Choice>
  </mc:AlternateContent>
  <xr:revisionPtr revIDLastSave="0" documentId="13_ncr:1_{A82B498F-D8B9-3A4A-AE01-4F17A5E4CDCA}" xr6:coauthVersionLast="31" xr6:coauthVersionMax="31" xr10:uidLastSave="{00000000-0000-0000-0000-000000000000}"/>
  <bookViews>
    <workbookView xWindow="0" yWindow="460" windowWidth="25600" windowHeight="13520" activeTab="1" xr2:uid="{00000000-000D-0000-FFFF-FFFF00000000}"/>
  </bookViews>
  <sheets>
    <sheet name="Pivot" sheetId="2" r:id="rId1"/>
    <sheet name="ELISA data" sheetId="1" r:id="rId2"/>
  </sheets>
  <calcPr calcId="179017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7" i="1" l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</calcChain>
</file>

<file path=xl/sharedStrings.xml><?xml version="1.0" encoding="utf-8"?>
<sst xmlns="http://schemas.openxmlformats.org/spreadsheetml/2006/main" count="880" uniqueCount="48">
  <si>
    <t>Group</t>
  </si>
  <si>
    <t>vaccine</t>
  </si>
  <si>
    <t>Mouse</t>
  </si>
  <si>
    <t>Organ</t>
  </si>
  <si>
    <t>Stimuli</t>
  </si>
  <si>
    <t>fortynding</t>
  </si>
  <si>
    <t>A</t>
  </si>
  <si>
    <t xml:space="preserve">H56 0.005/CAF01 </t>
  </si>
  <si>
    <t>spleen</t>
  </si>
  <si>
    <t>medie</t>
  </si>
  <si>
    <t>4x</t>
  </si>
  <si>
    <t>H56 0.002</t>
  </si>
  <si>
    <t>H56 0.02</t>
  </si>
  <si>
    <t>H56 2</t>
  </si>
  <si>
    <t>H56 20</t>
  </si>
  <si>
    <t>H56 100</t>
  </si>
  <si>
    <t>Con A</t>
  </si>
  <si>
    <t>B</t>
  </si>
  <si>
    <t xml:space="preserve">H56 0.05/CAF01 </t>
  </si>
  <si>
    <t>C</t>
  </si>
  <si>
    <t xml:space="preserve">H56 0.5/CAF01 </t>
  </si>
  <si>
    <t>D</t>
  </si>
  <si>
    <t xml:space="preserve">H56 5/CAF01 </t>
  </si>
  <si>
    <t>E</t>
  </si>
  <si>
    <t xml:space="preserve">H56 50/CAF01 </t>
  </si>
  <si>
    <t>F</t>
  </si>
  <si>
    <t>Saline</t>
  </si>
  <si>
    <t>IL-17 rep.1</t>
  </si>
  <si>
    <t>IL-17 rep.2</t>
  </si>
  <si>
    <t>IFNg rep.1</t>
  </si>
  <si>
    <t>IFNg rep.2</t>
  </si>
  <si>
    <t>IFNg mean</t>
  </si>
  <si>
    <t>IL-17 mean</t>
  </si>
  <si>
    <t>Sum of IL-17 mean</t>
  </si>
  <si>
    <t>H56 vacc dose</t>
  </si>
  <si>
    <t>ConA</t>
  </si>
  <si>
    <t>H56 restim (ug/ml)</t>
  </si>
  <si>
    <t>Kolonnenavne</t>
  </si>
  <si>
    <t>Rækkenavne</t>
  </si>
  <si>
    <t>Antal af Group</t>
  </si>
  <si>
    <t>Antal af Organ</t>
  </si>
  <si>
    <t>Antal af Stimuli</t>
  </si>
  <si>
    <t>Sum af IL-17 rep.1</t>
  </si>
  <si>
    <t>Antal af fortynding</t>
  </si>
  <si>
    <t>Sum af IL-17 rep.2</t>
  </si>
  <si>
    <t>Sum af IFNg rep.1</t>
  </si>
  <si>
    <t>Sum af IFNg rep.2</t>
  </si>
  <si>
    <t>Sum af IFNg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</si>
</sst>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Candida"/>
    </font>
    <font>
      <sz val="12"/>
      <color indexed="8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3" fillId="0" borderId="5" xfId="0" applyFont="1" applyBorder="1"/>
    <xf numFmtId="0" fontId="4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3" fillId="0" borderId="8" xfId="0" applyFont="1" applyBorder="1"/>
    <xf numFmtId="164" fontId="6" fillId="0" borderId="0" xfId="1" applyNumberFormat="1" applyFont="1" applyBorder="1" applyAlignment="1">
      <alignment horizontal="right"/>
    </xf>
    <xf numFmtId="1" fontId="6" fillId="0" borderId="8" xfId="1" applyNumberFormat="1" applyFon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165" fontId="6" fillId="0" borderId="0" xfId="1" applyNumberFormat="1" applyFont="1" applyBorder="1" applyAlignment="1">
      <alignment horizontal="right"/>
    </xf>
    <xf numFmtId="2" fontId="0" fillId="0" borderId="6" xfId="0" applyNumberFormat="1" applyFill="1" applyBorder="1" applyAlignment="1">
      <alignment horizontal="right"/>
    </xf>
    <xf numFmtId="2" fontId="0" fillId="0" borderId="7" xfId="0" applyNumberFormat="1" applyFill="1" applyBorder="1" applyAlignment="1">
      <alignment horizontal="right"/>
    </xf>
    <xf numFmtId="2" fontId="0" fillId="0" borderId="9" xfId="0" applyNumberFormat="1" applyFill="1" applyBorder="1" applyAlignment="1">
      <alignment horizontal="right"/>
    </xf>
    <xf numFmtId="2" fontId="0" fillId="0" borderId="10" xfId="0" applyNumberFormat="1" applyFill="1" applyBorder="1" applyAlignment="1">
      <alignment horizontal="right"/>
    </xf>
    <xf numFmtId="1" fontId="0" fillId="0" borderId="11" xfId="0" applyNumberFormat="1" applyBorder="1" applyAlignment="1">
      <alignment horizontal="right"/>
    </xf>
    <xf numFmtId="0" fontId="1" fillId="0" borderId="12" xfId="0" applyFont="1" applyBorder="1"/>
    <xf numFmtId="0" fontId="3" fillId="0" borderId="13" xfId="0" applyFont="1" applyBorder="1"/>
    <xf numFmtId="0" fontId="4" fillId="0" borderId="12" xfId="0" applyFont="1" applyBorder="1"/>
    <xf numFmtId="165" fontId="6" fillId="0" borderId="14" xfId="1" applyNumberFormat="1" applyFont="1" applyBorder="1" applyAlignment="1">
      <alignment horizontal="right"/>
    </xf>
    <xf numFmtId="1" fontId="6" fillId="0" borderId="13" xfId="1" applyNumberFormat="1" applyFon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2" borderId="7" xfId="0" applyNumberFormat="1" applyFill="1" applyBorder="1" applyAlignment="1">
      <alignment horizontal="right"/>
    </xf>
    <xf numFmtId="0" fontId="3" fillId="0" borderId="15" xfId="0" applyFont="1" applyBorder="1"/>
    <xf numFmtId="0" fontId="4" fillId="0" borderId="1" xfId="0" applyFont="1" applyBorder="1"/>
    <xf numFmtId="165" fontId="6" fillId="0" borderId="2" xfId="1" applyNumberFormat="1" applyFont="1" applyBorder="1" applyAlignment="1">
      <alignment horizontal="right"/>
    </xf>
    <xf numFmtId="1" fontId="6" fillId="0" borderId="15" xfId="1" applyNumberFormat="1" applyFont="1" applyBorder="1" applyAlignment="1">
      <alignment horizontal="right"/>
    </xf>
    <xf numFmtId="2" fontId="0" fillId="0" borderId="16" xfId="0" applyNumberFormat="1" applyFill="1" applyBorder="1" applyAlignment="1">
      <alignment horizontal="right"/>
    </xf>
    <xf numFmtId="2" fontId="0" fillId="0" borderId="17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2" fontId="0" fillId="0" borderId="17" xfId="0" applyNumberFormat="1" applyBorder="1" applyAlignment="1">
      <alignment horizontal="right"/>
    </xf>
    <xf numFmtId="2" fontId="0" fillId="0" borderId="18" xfId="0" applyNumberFormat="1" applyBorder="1" applyAlignment="1">
      <alignment horizontal="right"/>
    </xf>
    <xf numFmtId="2" fontId="0" fillId="0" borderId="19" xfId="0" applyNumberFormat="1" applyBorder="1" applyAlignment="1">
      <alignment horizontal="right"/>
    </xf>
    <xf numFmtId="165" fontId="6" fillId="0" borderId="12" xfId="1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NumberFormat="1"/>
    <xf numFmtId="0" fontId="3" fillId="0" borderId="4" xfId="0" applyFont="1" applyBorder="1"/>
    <xf numFmtId="0" fontId="3" fillId="0" borderId="12" xfId="0" applyFont="1" applyBorder="1"/>
    <xf numFmtId="0" fontId="3" fillId="0" borderId="1" xfId="0" applyFont="1" applyBorder="1"/>
    <xf numFmtId="0" fontId="0" fillId="0" borderId="0" xfId="0" applyAlignment="1">
      <alignment horizontal="left" indent="1"/>
    </xf>
  </cellXfs>
  <cellStyles count="2">
    <cellStyle name="None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Woodworth" refreshedDate="41904.674641435187" createdVersion="5" refreshedVersion="5" minRefreshableVersion="3" recordCount="126" xr:uid="{00000000-000A-0000-FFFF-FFFF16000000}">
  <cacheSource type="worksheet">
    <worksheetSource ref="A1:N127" sheet="ELISA data"/>
  </cacheSource>
  <cacheFields count="14">
    <cacheField name="Group" numFmtId="0">
      <sharedItems/>
    </cacheField>
    <cacheField name="vaccine" numFmtId="0">
      <sharedItems count="6">
        <s v="H56 0.005/CAF01 "/>
        <s v="H56 0.05/CAF01 "/>
        <s v="H56 0.5/CAF01 "/>
        <s v="H56 5/CAF01 "/>
        <s v="H56 50/CAF01 "/>
        <s v="Saline"/>
      </sharedItems>
    </cacheField>
    <cacheField name="H56 vacc dose" numFmtId="0">
      <sharedItems containsSemiMixedTypes="0" containsString="0" containsNumber="1" minValue="0" maxValue="50" count="6">
        <n v="5.0000000000000001E-3"/>
        <n v="0.05"/>
        <n v="0.5"/>
        <n v="5"/>
        <n v="50"/>
        <n v="0"/>
      </sharedItems>
    </cacheField>
    <cacheField name="Mouse" numFmtId="0">
      <sharedItems containsSemiMixedTypes="0" containsString="0" containsNumber="1" containsInteger="1" minValue="1" maxValue="3" count="3">
        <n v="1"/>
        <n v="2"/>
        <n v="3"/>
      </sharedItems>
    </cacheField>
    <cacheField name="Organ" numFmtId="0">
      <sharedItems/>
    </cacheField>
    <cacheField name="Stimuli" numFmtId="0">
      <sharedItems count="7">
        <s v="medie"/>
        <s v="H56 0.002"/>
        <s v="H56 0.02"/>
        <s v="H56 2"/>
        <s v="H56 20"/>
        <s v="H56 100"/>
        <s v="Con A"/>
      </sharedItems>
    </cacheField>
    <cacheField name="H56 restim (ug/ml)" numFmtId="0">
      <sharedItems containsMixedTypes="1" containsNumber="1" minValue="0" maxValue="100" count="7">
        <n v="0"/>
        <n v="2E-3"/>
        <n v="0.02"/>
        <n v="2"/>
        <n v="20"/>
        <n v="100"/>
        <s v="ConA"/>
      </sharedItems>
    </cacheField>
    <cacheField name="fortynding" numFmtId="0">
      <sharedItems/>
    </cacheField>
    <cacheField name="IL-17 rep.1" numFmtId="2">
      <sharedItems containsSemiMixedTypes="0" containsString="0" containsNumber="1" minValue="0" maxValue="22471.952297821375"/>
    </cacheField>
    <cacheField name="IL-17 rep.2" numFmtId="2">
      <sharedItems containsSemiMixedTypes="0" containsString="0" containsNumber="1" minValue="0" maxValue="22685.919712433581"/>
    </cacheField>
    <cacheField name="IL-17 mean" numFmtId="1">
      <sharedItems containsSemiMixedTypes="0" containsString="0" containsNumber="1" minValue="0" maxValue="22000.246542941881"/>
    </cacheField>
    <cacheField name="IFNg rep.1" numFmtId="2">
      <sharedItems containsSemiMixedTypes="0" containsString="0" containsNumber="1" minValue="7.5910010617358292" maxValue="60598.385512343331"/>
    </cacheField>
    <cacheField name="IFNg rep.2" numFmtId="2">
      <sharedItems containsSemiMixedTypes="0" containsString="0" containsNumber="1" minValue="6.6514621026749028" maxValue="66143.037716685052"/>
    </cacheField>
    <cacheField name="IFNg mean" numFmtId="1">
      <sharedItems containsSemiMixedTypes="0" containsString="0" containsNumber="1" minValue="54.555286819118251" maxValue="57007.5233477637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A"/>
    <x v="0"/>
    <x v="0"/>
    <x v="0"/>
    <s v="spleen"/>
    <x v="0"/>
    <x v="0"/>
    <s v="4x"/>
    <n v="358.57336760450937"/>
    <n v="812.86302985277109"/>
    <n v="585.71819872864023"/>
    <n v="466.42271884737994"/>
    <n v="1116.2105224398442"/>
    <n v="791.31662064361205"/>
  </r>
  <r>
    <s v="A"/>
    <x v="0"/>
    <x v="0"/>
    <x v="0"/>
    <s v="spleen"/>
    <x v="1"/>
    <x v="1"/>
    <s v="4x"/>
    <n v="13515.841671221931"/>
    <n v="4427.5194698562709"/>
    <n v="8971.6805705391016"/>
    <n v="431.06950099465632"/>
    <n v="1131.8292884327925"/>
    <n v="781.44939471372436"/>
  </r>
  <r>
    <s v="A"/>
    <x v="0"/>
    <x v="0"/>
    <x v="0"/>
    <s v="spleen"/>
    <x v="2"/>
    <x v="2"/>
    <s v="4x"/>
    <n v="11949.101098892379"/>
    <n v="11312.593641525489"/>
    <n v="11630.847370208934"/>
    <n v="1553.0594266681981"/>
    <n v="1755.5933895992071"/>
    <n v="1654.3264081337024"/>
  </r>
  <r>
    <s v="A"/>
    <x v="0"/>
    <x v="0"/>
    <x v="0"/>
    <s v="spleen"/>
    <x v="3"/>
    <x v="3"/>
    <s v="4x"/>
    <n v="12230.731943478451"/>
    <n v="15092.763200559712"/>
    <n v="13661.747572019081"/>
    <n v="5855.464368004029"/>
    <n v="1930.7394518179265"/>
    <n v="3893.1019099109776"/>
  </r>
  <r>
    <s v="A"/>
    <x v="0"/>
    <x v="0"/>
    <x v="0"/>
    <s v="spleen"/>
    <x v="4"/>
    <x v="4"/>
    <s v="4x"/>
    <n v="18856.98596876716"/>
    <n v="20099.480139553343"/>
    <n v="19478.23305416025"/>
    <n v="5998.3809086807696"/>
    <n v="7426.4048529727879"/>
    <n v="6712.3928808267792"/>
  </r>
  <r>
    <s v="A"/>
    <x v="0"/>
    <x v="0"/>
    <x v="0"/>
    <s v="spleen"/>
    <x v="5"/>
    <x v="5"/>
    <s v="4x"/>
    <n v="14190.666375390081"/>
    <n v="19057.577796373815"/>
    <n v="16624.122085881947"/>
    <n v="5155.9931866736988"/>
    <n v="4363.0195859965233"/>
    <n v="4759.5063863351115"/>
  </r>
  <r>
    <s v="A"/>
    <x v="0"/>
    <x v="0"/>
    <x v="0"/>
    <s v="spleen"/>
    <x v="6"/>
    <x v="6"/>
    <s v="4x"/>
    <n v="468.7767515233777"/>
    <n v="333.93320927145311"/>
    <n v="401.35498039741537"/>
    <n v="13073.131956552246"/>
    <n v="13830.012661472931"/>
    <n v="13451.572309012588"/>
  </r>
  <r>
    <s v="A"/>
    <x v="0"/>
    <x v="0"/>
    <x v="1"/>
    <s v="spleen"/>
    <x v="0"/>
    <x v="0"/>
    <s v="4x"/>
    <n v="64.951511466153505"/>
    <n v="95.014901639768382"/>
    <n v="79.983206552960951"/>
    <n v="999.02289576739031"/>
    <n v="1260.6322248319784"/>
    <n v="1129.8275602996844"/>
  </r>
  <r>
    <s v="A"/>
    <x v="0"/>
    <x v="0"/>
    <x v="1"/>
    <s v="spleen"/>
    <x v="1"/>
    <x v="1"/>
    <s v="4x"/>
    <n v="920.24212779472339"/>
    <n v="3128.1170907382225"/>
    <n v="2024.1796092664729"/>
    <n v="277.62861356746532"/>
    <n v="1666.0309565046484"/>
    <n v="971.82978503605682"/>
  </r>
  <r>
    <s v="A"/>
    <x v="0"/>
    <x v="0"/>
    <x v="1"/>
    <s v="spleen"/>
    <x v="2"/>
    <x v="2"/>
    <s v="4x"/>
    <n v="1643.256668816932"/>
    <n v="2599.8411172080391"/>
    <n v="2121.5488930124857"/>
    <n v="584.14728920044888"/>
    <n v="764.36584491840404"/>
    <n v="674.25656705942652"/>
  </r>
  <r>
    <s v="A"/>
    <x v="0"/>
    <x v="0"/>
    <x v="1"/>
    <s v="spleen"/>
    <x v="3"/>
    <x v="3"/>
    <s v="4x"/>
    <n v="1942.0536066572299"/>
    <n v="3671.0457725004876"/>
    <n v="2806.5496895788588"/>
    <n v="916.93874928061746"/>
    <n v="1798.4169753522754"/>
    <n v="1357.6778623164464"/>
  </r>
  <r>
    <s v="A"/>
    <x v="0"/>
    <x v="0"/>
    <x v="1"/>
    <s v="spleen"/>
    <x v="4"/>
    <x v="4"/>
    <s v="4x"/>
    <n v="6434.1591392043119"/>
    <n v="5101.1880638138073"/>
    <n v="5767.6736015090592"/>
    <n v="729.1298138511745"/>
    <n v="780.02287573289789"/>
    <n v="754.57634479203625"/>
  </r>
  <r>
    <s v="A"/>
    <x v="0"/>
    <x v="0"/>
    <x v="1"/>
    <s v="spleen"/>
    <x v="5"/>
    <x v="5"/>
    <s v="4x"/>
    <n v="990.68158357225184"/>
    <n v="1994.2278618884602"/>
    <n v="1492.454722730356"/>
    <n v="1377.6510681834975"/>
    <n v="1650.4517235989993"/>
    <n v="1514.0513958912484"/>
  </r>
  <r>
    <s v="A"/>
    <x v="0"/>
    <x v="0"/>
    <x v="1"/>
    <s v="spleen"/>
    <x v="6"/>
    <x v="6"/>
    <s v="4x"/>
    <n v="319.22952404101358"/>
    <n v="285.17037214842185"/>
    <n v="302.19994809471768"/>
    <n v="13699.403203034977"/>
    <n v="13887.631921258753"/>
    <n v="13793.517562146866"/>
  </r>
  <r>
    <s v="A"/>
    <x v="0"/>
    <x v="0"/>
    <x v="2"/>
    <s v="spleen"/>
    <x v="0"/>
    <x v="0"/>
    <s v="4x"/>
    <n v="1797.8199998974769"/>
    <n v="2599.8411172080391"/>
    <n v="2198.8305585527578"/>
    <n v="438.92735250135451"/>
    <n v="1463.4233810621101"/>
    <n v="951.17536678173235"/>
  </r>
  <r>
    <s v="A"/>
    <x v="0"/>
    <x v="0"/>
    <x v="2"/>
    <s v="spleen"/>
    <x v="1"/>
    <x v="1"/>
    <s v="4x"/>
    <n v="4974.5995302117453"/>
    <n v="4590.3868490101477"/>
    <n v="4782.4931896109465"/>
    <n v="952.12329559253351"/>
    <n v="1494.6050866775004"/>
    <n v="1223.3641911350169"/>
  </r>
  <r>
    <s v="A"/>
    <x v="0"/>
    <x v="0"/>
    <x v="2"/>
    <s v="spleen"/>
    <x v="2"/>
    <x v="2"/>
    <s v="4x"/>
    <n v="8408.9676612036237"/>
    <n v="13363.220285351075"/>
    <n v="10886.09397327735"/>
    <n v="1471.2192098701867"/>
    <n v="807.41777587120009"/>
    <n v="1139.3184928706933"/>
  </r>
  <r>
    <s v="A"/>
    <x v="0"/>
    <x v="0"/>
    <x v="2"/>
    <s v="spleen"/>
    <x v="3"/>
    <x v="3"/>
    <s v="4x"/>
    <n v="18142.225240480857"/>
    <n v="19531.179938975682"/>
    <n v="18836.702589728269"/>
    <n v="1938.5212455857527"/>
    <n v="2408.9682878667845"/>
    <n v="2173.7447667262686"/>
  </r>
  <r>
    <s v="A"/>
    <x v="0"/>
    <x v="0"/>
    <x v="2"/>
    <s v="spleen"/>
    <x v="4"/>
    <x v="4"/>
    <s v="4x"/>
    <n v="19998.65792776956"/>
    <n v="22685.919712433581"/>
    <n v="21342.28882010157"/>
    <n v="4022.3416753175966"/>
    <n v="4177.2176708959323"/>
    <n v="4099.7796731067647"/>
  </r>
  <r>
    <s v="A"/>
    <x v="0"/>
    <x v="0"/>
    <x v="2"/>
    <s v="spleen"/>
    <x v="5"/>
    <x v="5"/>
    <s v="4x"/>
    <n v="18342.097456274932"/>
    <n v="16848.152069973574"/>
    <n v="17595.124763124251"/>
    <n v="4262.3834272233826"/>
    <n v="4057.1921108755241"/>
    <n v="4159.7877690494533"/>
  </r>
  <r>
    <s v="A"/>
    <x v="0"/>
    <x v="0"/>
    <x v="2"/>
    <s v="spleen"/>
    <x v="6"/>
    <x v="6"/>
    <s v="4x"/>
    <n v="241.93909087851901"/>
    <n v="319.22952404101358"/>
    <n v="280.58430745976631"/>
    <n v="13534.209019264632"/>
    <n v="13733.97708163578"/>
    <n v="13634.093050450207"/>
  </r>
  <r>
    <s v="B"/>
    <x v="1"/>
    <x v="1"/>
    <x v="0"/>
    <s v="spleen"/>
    <x v="0"/>
    <x v="0"/>
    <s v="4x"/>
    <n v="131.47531357100004"/>
    <n v="0"/>
    <n v="65.737656785500022"/>
    <n v="330.38225568002099"/>
    <n v="198.49930190363631"/>
    <n v="264.44077879182862"/>
  </r>
  <r>
    <s v="B"/>
    <x v="1"/>
    <x v="1"/>
    <x v="0"/>
    <s v="spleen"/>
    <x v="1"/>
    <x v="1"/>
    <s v="4x"/>
    <n v="8449.8597414309679"/>
    <n v="8052.2157076944668"/>
    <n v="8251.0377245627169"/>
    <n v="1042.3450204291928"/>
    <n v="368.40157136896602"/>
    <n v="705.37329589907938"/>
  </r>
  <r>
    <s v="B"/>
    <x v="1"/>
    <x v="1"/>
    <x v="0"/>
    <s v="spleen"/>
    <x v="2"/>
    <x v="2"/>
    <s v="4x"/>
    <n v="20306.085012453928"/>
    <n v="19057.365328615117"/>
    <n v="19681.725170534522"/>
    <n v="1757.4827287874068"/>
    <n v="1358.3600906235934"/>
    <n v="1557.9214097055001"/>
  </r>
  <r>
    <s v="B"/>
    <x v="1"/>
    <x v="1"/>
    <x v="0"/>
    <s v="spleen"/>
    <x v="3"/>
    <x v="3"/>
    <s v="4x"/>
    <n v="22471.952297821375"/>
    <n v="20708.466651346433"/>
    <n v="21590.209474583906"/>
    <n v="3537.1899412075277"/>
    <n v="1813.5528815966466"/>
    <n v="2675.3714114020872"/>
  </r>
  <r>
    <s v="B"/>
    <x v="1"/>
    <x v="1"/>
    <x v="0"/>
    <s v="spleen"/>
    <x v="4"/>
    <x v="4"/>
    <s v="4x"/>
    <n v="21976.175309426209"/>
    <n v="22024.317776457556"/>
    <n v="22000.246542941881"/>
    <n v="3833.61476624337"/>
    <n v="4857.9186278721563"/>
    <n v="4345.7666970577629"/>
  </r>
  <r>
    <s v="B"/>
    <x v="1"/>
    <x v="1"/>
    <x v="0"/>
    <s v="spleen"/>
    <x v="5"/>
    <x v="5"/>
    <s v="4x"/>
    <n v="22010.561502776749"/>
    <n v="20285.650179001255"/>
    <n v="21148.105840889002"/>
    <n v="6152.3100815586113"/>
    <n v="3415.9375348369235"/>
    <n v="4784.1238081977672"/>
  </r>
  <r>
    <s v="B"/>
    <x v="1"/>
    <x v="1"/>
    <x v="0"/>
    <s v="spleen"/>
    <x v="6"/>
    <x v="6"/>
    <s v="4x"/>
    <n v="523.27318317504887"/>
    <n v="514.47901140729266"/>
    <n v="518.87609729117071"/>
    <n v="7948.6027266592455"/>
    <n v="7721.4940791100034"/>
    <n v="7835.048402884624"/>
  </r>
  <r>
    <s v="B"/>
    <x v="1"/>
    <x v="1"/>
    <x v="1"/>
    <s v="spleen"/>
    <x v="0"/>
    <x v="0"/>
    <s v="4x"/>
    <n v="342.71875245935666"/>
    <n v="53.094279535093463"/>
    <n v="197.90651599722506"/>
    <n v="240.9570291064787"/>
    <n v="158.29085296533003"/>
    <n v="199.62394103590435"/>
  </r>
  <r>
    <s v="B"/>
    <x v="1"/>
    <x v="1"/>
    <x v="1"/>
    <s v="spleen"/>
    <x v="1"/>
    <x v="1"/>
    <s v="4x"/>
    <n v="2949.4158466628837"/>
    <n v="3036.1376613325529"/>
    <n v="2992.7767539977185"/>
    <n v="1129.7385862098461"/>
    <n v="1461.486637572423"/>
    <n v="1295.6126118911345"/>
  </r>
  <r>
    <s v="B"/>
    <x v="1"/>
    <x v="1"/>
    <x v="1"/>
    <s v="spleen"/>
    <x v="2"/>
    <x v="2"/>
    <s v="4x"/>
    <n v="7035.4836233574952"/>
    <n v="8535.8030237443527"/>
    <n v="7785.6433235509239"/>
    <n v="648.13215539078749"/>
    <n v="1461.486637572423"/>
    <n v="1054.8093964816053"/>
  </r>
  <r>
    <s v="B"/>
    <x v="1"/>
    <x v="1"/>
    <x v="1"/>
    <s v="spleen"/>
    <x v="3"/>
    <x v="3"/>
    <s v="4x"/>
    <n v="13060.857217770365"/>
    <n v="16025.470344402467"/>
    <n v="14543.163781086416"/>
    <n v="2239.7788908851094"/>
    <n v="3620.2744962254887"/>
    <n v="2930.0266935552991"/>
  </r>
  <r>
    <s v="B"/>
    <x v="1"/>
    <x v="1"/>
    <x v="1"/>
    <s v="spleen"/>
    <x v="4"/>
    <x v="4"/>
    <s v="4x"/>
    <n v="13917.172798721063"/>
    <n v="12307.402124219965"/>
    <n v="13112.287461470514"/>
    <n v="5242.1346390201879"/>
    <n v="6592.8768166482769"/>
    <n v="5917.5057278342319"/>
  </r>
  <r>
    <s v="B"/>
    <x v="1"/>
    <x v="1"/>
    <x v="1"/>
    <s v="spleen"/>
    <x v="5"/>
    <x v="5"/>
    <s v="4x"/>
    <n v="7578.127899942795"/>
    <n v="10024.579340832242"/>
    <n v="8801.3536203875192"/>
    <n v="5950.0272418167106"/>
    <n v="6586.1330521022746"/>
    <n v="6268.0801469594926"/>
  </r>
  <r>
    <s v="B"/>
    <x v="1"/>
    <x v="1"/>
    <x v="1"/>
    <s v="spleen"/>
    <x v="6"/>
    <x v="6"/>
    <s v="4x"/>
    <n v="514.47901140729266"/>
    <n v="702.60374232154663"/>
    <n v="608.54137686441959"/>
    <n v="6736.7466410239567"/>
    <n v="7568.5957910396055"/>
    <n v="7152.6712160317811"/>
  </r>
  <r>
    <s v="B"/>
    <x v="1"/>
    <x v="1"/>
    <x v="2"/>
    <s v="spleen"/>
    <x v="0"/>
    <x v="0"/>
    <s v="4x"/>
    <n v="9.6225146888339577"/>
    <n v="0"/>
    <n v="4.8112573444169788"/>
    <n v="153.82427379926855"/>
    <n v="6.6514621026749028"/>
    <n v="80.237867950971733"/>
  </r>
  <r>
    <s v="B"/>
    <x v="1"/>
    <x v="1"/>
    <x v="2"/>
    <s v="spleen"/>
    <x v="1"/>
    <x v="1"/>
    <s v="4x"/>
    <n v="0"/>
    <n v="169.39123188711301"/>
    <n v="84.695615943556504"/>
    <n v="202.96784344660301"/>
    <n v="265.54395864509792"/>
    <n v="234.25590104585046"/>
  </r>
  <r>
    <s v="B"/>
    <x v="1"/>
    <x v="1"/>
    <x v="2"/>
    <s v="spleen"/>
    <x v="2"/>
    <x v="2"/>
    <s v="4x"/>
    <n v="59.842249173416832"/>
    <n v="232.17172767276051"/>
    <n v="146.00698842308867"/>
    <n v="813.84080267880404"/>
    <n v="547.39857952326292"/>
    <n v="680.61969110103348"/>
  </r>
  <r>
    <s v="B"/>
    <x v="1"/>
    <x v="1"/>
    <x v="2"/>
    <s v="spleen"/>
    <x v="3"/>
    <x v="3"/>
    <s v="4x"/>
    <n v="188.75333041943421"/>
    <n v="1473.7192779796403"/>
    <n v="831.23630419953724"/>
    <n v="1950.3765691437811"/>
    <n v="3977.3504915103817"/>
    <n v="2963.8635303270812"/>
  </r>
  <r>
    <s v="B"/>
    <x v="1"/>
    <x v="1"/>
    <x v="2"/>
    <s v="spleen"/>
    <x v="4"/>
    <x v="4"/>
    <s v="4x"/>
    <n v="1857.7070560946759"/>
    <n v="1281.0570841224551"/>
    <n v="1569.3820701085656"/>
    <n v="2055.8095914300457"/>
    <n v="4255.8639750286566"/>
    <n v="3155.8367832293511"/>
  </r>
  <r>
    <s v="B"/>
    <x v="1"/>
    <x v="1"/>
    <x v="2"/>
    <s v="spleen"/>
    <x v="5"/>
    <x v="5"/>
    <s v="4x"/>
    <n v="661.71687897770016"/>
    <n v="648.15378707695243"/>
    <n v="654.93533302732635"/>
    <n v="2607.7946786737139"/>
    <n v="4673.693254399921"/>
    <n v="3640.7439665368174"/>
  </r>
  <r>
    <s v="B"/>
    <x v="1"/>
    <x v="1"/>
    <x v="2"/>
    <s v="spleen"/>
    <x v="6"/>
    <x v="6"/>
    <s v="4x"/>
    <n v="470.78160941576317"/>
    <n v="657.19212601585207"/>
    <n v="563.98686771580765"/>
    <n v="7213.3531191795164"/>
    <n v="7883.3921399380406"/>
    <n v="7548.3726295587785"/>
  </r>
  <r>
    <s v="C"/>
    <x v="2"/>
    <x v="2"/>
    <x v="0"/>
    <s v="spleen"/>
    <x v="0"/>
    <x v="0"/>
    <s v="4x"/>
    <n v="369.2039814505444"/>
    <n v="168.41967134144048"/>
    <n v="268.81182639599245"/>
    <n v="277.79541900827383"/>
    <n v="95.938371738015377"/>
    <n v="186.86689537314459"/>
  </r>
  <r>
    <s v="C"/>
    <x v="2"/>
    <x v="2"/>
    <x v="0"/>
    <s v="spleen"/>
    <x v="1"/>
    <x v="1"/>
    <s v="4x"/>
    <n v="7914.1286585606958"/>
    <n v="4890.0099307155515"/>
    <n v="6402.0692946381241"/>
    <n v="2064.222933768976"/>
    <n v="1637.2224632880611"/>
    <n v="1850.7226985285185"/>
  </r>
  <r>
    <s v="C"/>
    <x v="2"/>
    <x v="2"/>
    <x v="0"/>
    <s v="spleen"/>
    <x v="2"/>
    <x v="2"/>
    <s v="4x"/>
    <n v="16307.466671457471"/>
    <n v="20031.836982932455"/>
    <n v="18169.651827194961"/>
    <n v="2040.3287443463487"/>
    <n v="1717.2629456525819"/>
    <n v="1878.7958449994653"/>
  </r>
  <r>
    <s v="C"/>
    <x v="2"/>
    <x v="2"/>
    <x v="0"/>
    <s v="spleen"/>
    <x v="3"/>
    <x v="3"/>
    <s v="4x"/>
    <n v="18716.031199249766"/>
    <n v="18928.35337955174"/>
    <n v="18822.192289400751"/>
    <n v="4259.1169707691906"/>
    <n v="5147.2369988173623"/>
    <n v="4703.1769847932765"/>
  </r>
  <r>
    <s v="C"/>
    <x v="2"/>
    <x v="2"/>
    <x v="0"/>
    <s v="spleen"/>
    <x v="4"/>
    <x v="4"/>
    <s v="4x"/>
    <n v="20832.561737598811"/>
    <n v="20662.022769136795"/>
    <n v="20747.292253367803"/>
    <n v="4771.2469709678644"/>
    <n v="4594.5170129514545"/>
    <n v="4682.881991959659"/>
  </r>
  <r>
    <s v="C"/>
    <x v="2"/>
    <x v="2"/>
    <x v="0"/>
    <s v="spleen"/>
    <x v="5"/>
    <x v="5"/>
    <s v="4x"/>
    <n v="18778.449821021844"/>
    <n v="19416.494856120331"/>
    <n v="19097.472338571089"/>
    <n v="6747.7159474429818"/>
    <n v="5184.8675905633163"/>
    <n v="5966.2917690031491"/>
  </r>
  <r>
    <s v="C"/>
    <x v="2"/>
    <x v="2"/>
    <x v="0"/>
    <s v="spleen"/>
    <x v="6"/>
    <x v="6"/>
    <s v="4x"/>
    <n v="1095.6109305057082"/>
    <n v="1294.6603296015219"/>
    <n v="1195.1356300536149"/>
    <n v="7982.9202243066857"/>
    <n v="6551.9148597381218"/>
    <n v="7267.4175420224037"/>
  </r>
  <r>
    <s v="C"/>
    <x v="2"/>
    <x v="2"/>
    <x v="1"/>
    <s v="spleen"/>
    <x v="0"/>
    <x v="0"/>
    <s v="4x"/>
    <n v="154.09988395959127"/>
    <n v="59.036561545194807"/>
    <n v="106.56822275239304"/>
    <n v="7.5910010617358292"/>
    <n v="124.58375809690487"/>
    <n v="66.087379579320356"/>
  </r>
  <r>
    <s v="C"/>
    <x v="2"/>
    <x v="2"/>
    <x v="1"/>
    <s v="spleen"/>
    <x v="1"/>
    <x v="1"/>
    <s v="4x"/>
    <n v="5475.3971738651671"/>
    <n v="6806.3209228440528"/>
    <n v="6140.8590483546104"/>
    <n v="474.97865895424303"/>
    <n v="390.81299350110754"/>
    <n v="432.89582622767529"/>
  </r>
  <r>
    <s v="C"/>
    <x v="2"/>
    <x v="2"/>
    <x v="1"/>
    <s v="spleen"/>
    <x v="2"/>
    <x v="2"/>
    <s v="4x"/>
    <n v="10602.84957737132"/>
    <n v="17380.019731681048"/>
    <n v="13991.434654526183"/>
    <n v="1238.3040060657163"/>
    <n v="1098.7284235246825"/>
    <n v="1168.5162147951994"/>
  </r>
  <r>
    <s v="C"/>
    <x v="2"/>
    <x v="2"/>
    <x v="1"/>
    <s v="spleen"/>
    <x v="3"/>
    <x v="3"/>
    <s v="4x"/>
    <n v="15590.845075212559"/>
    <n v="18018.619020136917"/>
    <n v="16804.732047674737"/>
    <n v="1751.8988853046671"/>
    <n v="1862.3931168988715"/>
    <n v="1807.1460011017693"/>
  </r>
  <r>
    <s v="C"/>
    <x v="2"/>
    <x v="2"/>
    <x v="1"/>
    <s v="spleen"/>
    <x v="4"/>
    <x v="4"/>
    <s v="4x"/>
    <n v="20466.42153324269"/>
    <n v="17175.994013275988"/>
    <n v="18821.207773259339"/>
    <n v="2730.9865509079036"/>
    <n v="3860.4332359980685"/>
    <n v="3295.7098934529859"/>
  </r>
  <r>
    <s v="C"/>
    <x v="2"/>
    <x v="2"/>
    <x v="1"/>
    <s v="spleen"/>
    <x v="5"/>
    <x v="5"/>
    <s v="4x"/>
    <n v="14835.532967688645"/>
    <n v="19529.348224845267"/>
    <n v="17182.440596266955"/>
    <n v="3955.0750661434317"/>
    <n v="3730.65319463685"/>
    <n v="3842.8641303901409"/>
  </r>
  <r>
    <s v="C"/>
    <x v="2"/>
    <x v="2"/>
    <x v="1"/>
    <s v="spleen"/>
    <x v="6"/>
    <x v="6"/>
    <s v="4x"/>
    <n v="664.01218258598476"/>
    <n v="605.18913688891053"/>
    <n v="634.60065973744759"/>
    <n v="6729.9109989195513"/>
    <n v="8195.1443589394112"/>
    <n v="7462.5276789294812"/>
  </r>
  <r>
    <s v="C"/>
    <x v="2"/>
    <x v="2"/>
    <x v="2"/>
    <s v="spleen"/>
    <x v="0"/>
    <x v="0"/>
    <s v="4x"/>
    <n v="0"/>
    <n v="0"/>
    <n v="0"/>
    <n v="138.95940437547526"/>
    <n v="232.00236562495601"/>
    <n v="185.48088500021564"/>
  </r>
  <r>
    <s v="C"/>
    <x v="2"/>
    <x v="2"/>
    <x v="2"/>
    <s v="spleen"/>
    <x v="1"/>
    <x v="1"/>
    <s v="4x"/>
    <n v="4682.48639737945"/>
    <n v="5281.2071499742824"/>
    <n v="4981.8467736768662"/>
    <n v="1042.9971023654164"/>
    <n v="1440.7143333499203"/>
    <n v="1241.8557178576684"/>
  </r>
  <r>
    <s v="C"/>
    <x v="2"/>
    <x v="2"/>
    <x v="2"/>
    <s v="spleen"/>
    <x v="2"/>
    <x v="2"/>
    <s v="4x"/>
    <n v="14987.459472838695"/>
    <n v="8378.440770680103"/>
    <n v="11682.950121759399"/>
    <n v="1671.8249747497025"/>
    <n v="1498.9649601950493"/>
    <n v="1585.3949674723758"/>
  </r>
  <r>
    <s v="C"/>
    <x v="2"/>
    <x v="2"/>
    <x v="2"/>
    <s v="spleen"/>
    <x v="3"/>
    <x v="3"/>
    <s v="4x"/>
    <n v="17274.880403512638"/>
    <n v="14805.169418041982"/>
    <n v="16040.024910777309"/>
    <n v="5107.3989702152157"/>
    <n v="3708.6656313533658"/>
    <n v="4408.0323007842908"/>
  </r>
  <r>
    <s v="C"/>
    <x v="2"/>
    <x v="2"/>
    <x v="2"/>
    <s v="spleen"/>
    <x v="4"/>
    <x v="4"/>
    <s v="4x"/>
    <n v="18628.686004764975"/>
    <n v="19962.656510380941"/>
    <n v="19295.671257572958"/>
    <n v="4877.3495172889843"/>
    <n v="5058.7166728669335"/>
    <n v="4968.0330950779589"/>
  </r>
  <r>
    <s v="C"/>
    <x v="2"/>
    <x v="2"/>
    <x v="2"/>
    <s v="spleen"/>
    <x v="5"/>
    <x v="5"/>
    <s v="4x"/>
    <n v="18422.990512099655"/>
    <n v="16978.421029403864"/>
    <n v="17700.70577075176"/>
    <n v="5985.2244044617637"/>
    <n v="5783.2537553321781"/>
    <n v="5884.2390798969709"/>
  </r>
  <r>
    <s v="C"/>
    <x v="2"/>
    <x v="2"/>
    <x v="2"/>
    <s v="spleen"/>
    <x v="6"/>
    <x v="6"/>
    <s v="4x"/>
    <n v="563.574814847619"/>
    <n v="571.86980937674502"/>
    <n v="567.72231211218195"/>
    <n v="7741.7950285685492"/>
    <n v="8217.4903268768685"/>
    <n v="7979.6426777227089"/>
  </r>
  <r>
    <s v="D"/>
    <x v="3"/>
    <x v="3"/>
    <x v="0"/>
    <s v="spleen"/>
    <x v="0"/>
    <x v="0"/>
    <s v="4x"/>
    <n v="0"/>
    <n v="0"/>
    <n v="0"/>
    <n v="409.98950500007317"/>
    <n v="1018.0057641404642"/>
    <n v="713.9976345702687"/>
  </r>
  <r>
    <s v="D"/>
    <x v="3"/>
    <x v="3"/>
    <x v="0"/>
    <s v="spleen"/>
    <x v="1"/>
    <x v="1"/>
    <s v="4x"/>
    <n v="6956.7850090175471"/>
    <n v="7230.3159072389935"/>
    <n v="7093.5504581282703"/>
    <n v="1585.8209923142176"/>
    <n v="3089.6717148917733"/>
    <n v="2337.7463536029954"/>
  </r>
  <r>
    <s v="D"/>
    <x v="3"/>
    <x v="3"/>
    <x v="0"/>
    <s v="spleen"/>
    <x v="2"/>
    <x v="2"/>
    <s v="4x"/>
    <n v="17562.203283609408"/>
    <n v="14819.430482964419"/>
    <n v="16190.816883286912"/>
    <n v="4565.5704256603058"/>
    <n v="5576.3436227474376"/>
    <n v="5070.9570242038717"/>
  </r>
  <r>
    <s v="D"/>
    <x v="3"/>
    <x v="3"/>
    <x v="0"/>
    <s v="spleen"/>
    <x v="3"/>
    <x v="3"/>
    <s v="4x"/>
    <n v="17654.241909152806"/>
    <n v="14351.482500344597"/>
    <n v="16002.862204748701"/>
    <n v="7078.5512256956627"/>
    <n v="7192.7367881792343"/>
    <n v="7135.6440069374485"/>
  </r>
  <r>
    <s v="D"/>
    <x v="3"/>
    <x v="3"/>
    <x v="0"/>
    <s v="spleen"/>
    <x v="4"/>
    <x v="4"/>
    <s v="4x"/>
    <n v="19534.880483780988"/>
    <n v="19394.954805940022"/>
    <n v="19464.917644860507"/>
    <n v="7685.7979685903792"/>
    <n v="7588.4086650451645"/>
    <n v="7637.1033168177719"/>
  </r>
  <r>
    <s v="D"/>
    <x v="3"/>
    <x v="3"/>
    <x v="0"/>
    <s v="spleen"/>
    <x v="5"/>
    <x v="5"/>
    <s v="4x"/>
    <n v="18975.991807615908"/>
    <n v="19588.22091643585"/>
    <n v="19282.106362025879"/>
    <n v="7704.8550296321364"/>
    <n v="7857.3421833687698"/>
    <n v="7781.0986065004527"/>
  </r>
  <r>
    <s v="D"/>
    <x v="3"/>
    <x v="3"/>
    <x v="0"/>
    <s v="spleen"/>
    <x v="6"/>
    <x v="6"/>
    <s v="4x"/>
    <n v="792.69494552057756"/>
    <n v="647.11914036344194"/>
    <n v="719.90704294200975"/>
    <n v="7567.2400723201508"/>
    <n v="7569.356883221566"/>
    <n v="7568.2984777708589"/>
  </r>
  <r>
    <s v="D"/>
    <x v="3"/>
    <x v="3"/>
    <x v="1"/>
    <s v="spleen"/>
    <x v="0"/>
    <x v="0"/>
    <s v="4x"/>
    <n v="0"/>
    <n v="489.52876879484984"/>
    <n v="244.76438439742492"/>
    <n v="718.86618486858174"/>
    <n v="188.51670539909074"/>
    <n v="453.69144513383623"/>
  </r>
  <r>
    <s v="D"/>
    <x v="3"/>
    <x v="3"/>
    <x v="1"/>
    <s v="spleen"/>
    <x v="1"/>
    <x v="1"/>
    <s v="4x"/>
    <n v="3056.8059680930969"/>
    <n v="2406.6665039998647"/>
    <n v="2731.7362360464808"/>
    <n v="751.33007185076713"/>
    <n v="595.352778430277"/>
    <n v="673.34142514052201"/>
  </r>
  <r>
    <s v="D"/>
    <x v="3"/>
    <x v="3"/>
    <x v="1"/>
    <s v="spleen"/>
    <x v="2"/>
    <x v="2"/>
    <s v="4x"/>
    <n v="3571.7647241248778"/>
    <n v="5985.4018969741601"/>
    <n v="4778.5833105495185"/>
    <n v="2420.4908432041657"/>
    <n v="2391.4662430336698"/>
    <n v="2405.9785431189175"/>
  </r>
  <r>
    <s v="D"/>
    <x v="3"/>
    <x v="3"/>
    <x v="1"/>
    <s v="spleen"/>
    <x v="3"/>
    <x v="3"/>
    <s v="4x"/>
    <n v="5470.7840350623983"/>
    <n v="12953.751449668733"/>
    <n v="9212.2677423655659"/>
    <n v="3404.4305063847482"/>
    <n v="4148.5334385910755"/>
    <n v="3776.4819724879117"/>
  </r>
  <r>
    <s v="D"/>
    <x v="3"/>
    <x v="3"/>
    <x v="1"/>
    <s v="spleen"/>
    <x v="4"/>
    <x v="4"/>
    <s v="4x"/>
    <n v="11265.804538567007"/>
    <n v="3020.4433466782352"/>
    <n v="7143.1239426226211"/>
    <n v="7368.3082965649101"/>
    <n v="7916.6573265006691"/>
    <n v="7642.4828115327891"/>
  </r>
  <r>
    <s v="D"/>
    <x v="3"/>
    <x v="3"/>
    <x v="1"/>
    <s v="spleen"/>
    <x v="5"/>
    <x v="5"/>
    <s v="4x"/>
    <n v="10446.355187491403"/>
    <n v="12613.661906303778"/>
    <n v="11530.00854689759"/>
    <n v="7277.3399574223977"/>
    <n v="7730.2657763901598"/>
    <n v="7503.8028669062787"/>
  </r>
  <r>
    <s v="D"/>
    <x v="3"/>
    <x v="3"/>
    <x v="1"/>
    <s v="spleen"/>
    <x v="6"/>
    <x v="6"/>
    <s v="4x"/>
    <n v="315.4277984418606"/>
    <n v="393.29516087133572"/>
    <n v="354.36147965659814"/>
    <n v="7017.2431266558233"/>
    <n v="7008.7875989996028"/>
    <n v="7013.015362827713"/>
  </r>
  <r>
    <s v="D"/>
    <x v="3"/>
    <x v="3"/>
    <x v="2"/>
    <s v="spleen"/>
    <x v="0"/>
    <x v="0"/>
    <s v="4x"/>
    <n v="0"/>
    <n v="0"/>
    <n v="0"/>
    <n v="125.39315290102854"/>
    <n v="367.87101789173329"/>
    <n v="246.63208539638092"/>
  </r>
  <r>
    <s v="D"/>
    <x v="3"/>
    <x v="3"/>
    <x v="2"/>
    <s v="spleen"/>
    <x v="1"/>
    <x v="1"/>
    <s v="4x"/>
    <n v="377.54064574616746"/>
    <n v="425.05698413831959"/>
    <n v="401.29881494224355"/>
    <n v="347.84478479221212"/>
    <n v="119.50122455663465"/>
    <n v="233.6730046744234"/>
  </r>
  <r>
    <s v="D"/>
    <x v="3"/>
    <x v="3"/>
    <x v="2"/>
    <s v="spleen"/>
    <x v="2"/>
    <x v="2"/>
    <s v="4x"/>
    <n v="2747.0655518122808"/>
    <n v="5951.2819171556148"/>
    <n v="4349.1737344839476"/>
    <n v="757.4199232927001"/>
    <n v="708.72662592217512"/>
    <n v="733.07327460743761"/>
  </r>
  <r>
    <s v="D"/>
    <x v="3"/>
    <x v="3"/>
    <x v="2"/>
    <s v="spleen"/>
    <x v="3"/>
    <x v="3"/>
    <s v="4x"/>
    <n v="5656.6850149099992"/>
    <n v="4281.2857617496384"/>
    <n v="4968.9853883298183"/>
    <n v="1853.6907560074033"/>
    <n v="1878.4543708307506"/>
    <n v="1866.0725634190769"/>
  </r>
  <r>
    <s v="D"/>
    <x v="3"/>
    <x v="3"/>
    <x v="2"/>
    <s v="spleen"/>
    <x v="4"/>
    <x v="4"/>
    <s v="4x"/>
    <n v="6013.8551501649536"/>
    <n v="10440.225626831576"/>
    <n v="8227.0403884982643"/>
    <n v="4850.9836211335878"/>
    <n v="3563.0557193247055"/>
    <n v="4207.0196702291469"/>
  </r>
  <r>
    <s v="D"/>
    <x v="3"/>
    <x v="3"/>
    <x v="2"/>
    <s v="spleen"/>
    <x v="5"/>
    <x v="5"/>
    <s v="4x"/>
    <n v="6661.5989558162155"/>
    <n v="7988.125992800733"/>
    <n v="7324.8624743084747"/>
    <n v="6307.646550277047"/>
    <n v="5900.696380735023"/>
    <n v="6104.171465506035"/>
  </r>
  <r>
    <s v="D"/>
    <x v="3"/>
    <x v="3"/>
    <x v="2"/>
    <s v="spleen"/>
    <x v="6"/>
    <x v="6"/>
    <s v="4x"/>
    <n v="315.4277984418606"/>
    <n v="493.59799122987994"/>
    <n v="404.51289483587027"/>
    <n v="6322.4155625249814"/>
    <n v="7122.952774593462"/>
    <n v="6722.6841685592217"/>
  </r>
  <r>
    <s v="E"/>
    <x v="4"/>
    <x v="4"/>
    <x v="0"/>
    <s v="spleen"/>
    <x v="0"/>
    <x v="0"/>
    <s v="4x"/>
    <n v="302.09549464848362"/>
    <n v="20.857643631469927"/>
    <n v="161.47656913997679"/>
    <n v="717.70046079556505"/>
    <n v="206.97686795553264"/>
    <n v="462.33866437554883"/>
  </r>
  <r>
    <s v="E"/>
    <x v="4"/>
    <x v="4"/>
    <x v="0"/>
    <s v="spleen"/>
    <x v="1"/>
    <x v="1"/>
    <s v="4x"/>
    <n v="412.40556405247287"/>
    <n v="1141.2499834812968"/>
    <n v="776.82777376688477"/>
    <n v="736.01162226634835"/>
    <n v="2443.8541536336024"/>
    <n v="1589.9328879499753"/>
  </r>
  <r>
    <s v="E"/>
    <x v="4"/>
    <x v="4"/>
    <x v="0"/>
    <s v="spleen"/>
    <x v="2"/>
    <x v="2"/>
    <s v="4x"/>
    <n v="811.79817556058526"/>
    <n v="4913.7039628629391"/>
    <n v="2862.7510692117621"/>
    <n v="3860.3406972000867"/>
    <n v="4579.4822600529551"/>
    <n v="4219.9114786265209"/>
  </r>
  <r>
    <s v="E"/>
    <x v="4"/>
    <x v="4"/>
    <x v="0"/>
    <s v="spleen"/>
    <x v="3"/>
    <x v="3"/>
    <s v="4x"/>
    <n v="6642.0398590981076"/>
    <n v="9201.6900685511646"/>
    <n v="7921.8649638246361"/>
    <n v="8041.6718167370855"/>
    <n v="8643.3096447125445"/>
    <n v="8342.4907307248141"/>
  </r>
  <r>
    <s v="E"/>
    <x v="4"/>
    <x v="4"/>
    <x v="0"/>
    <s v="spleen"/>
    <x v="4"/>
    <x v="4"/>
    <s v="4x"/>
    <n v="16807.805470245614"/>
    <n v="11846.551575390067"/>
    <n v="14327.178522817841"/>
    <n v="13335.414007308153"/>
    <n v="16450.592166576007"/>
    <n v="14893.003086942081"/>
  </r>
  <r>
    <s v="E"/>
    <x v="4"/>
    <x v="4"/>
    <x v="0"/>
    <s v="spleen"/>
    <x v="5"/>
    <x v="5"/>
    <s v="4x"/>
    <n v="12876.749451955646"/>
    <n v="13937.766722597977"/>
    <n v="13407.258087276812"/>
    <n v="15114.908610376853"/>
    <n v="17693.288882998764"/>
    <n v="16404.098746687807"/>
  </r>
  <r>
    <s v="E"/>
    <x v="4"/>
    <x v="4"/>
    <x v="0"/>
    <s v="spleen"/>
    <x v="6"/>
    <x v="6"/>
    <s v="4x"/>
    <n v="308.83194440554001"/>
    <n v="811.79817556058526"/>
    <n v="560.31505998306261"/>
    <n v="15799.045732174109"/>
    <n v="16703.764501538171"/>
    <n v="16251.40511685614"/>
  </r>
  <r>
    <s v="E"/>
    <x v="4"/>
    <x v="4"/>
    <x v="1"/>
    <s v="spleen"/>
    <x v="0"/>
    <x v="0"/>
    <s v="4x"/>
    <n v="229.58690354224518"/>
    <n v="1124.7970409010959"/>
    <n v="677.19197222167054"/>
    <n v="2397.653899099093"/>
    <n v="1052.3663620517209"/>
    <n v="1725.0101305754069"/>
  </r>
  <r>
    <s v="E"/>
    <x v="4"/>
    <x v="4"/>
    <x v="1"/>
    <s v="spleen"/>
    <x v="1"/>
    <x v="1"/>
    <s v="4x"/>
    <n v="1253.2376499618092"/>
    <n v="2446.2043539453311"/>
    <n v="1849.7210019535701"/>
    <n v="1553.5496387310534"/>
    <n v="2721.1915982864316"/>
    <n v="2137.3706185087426"/>
  </r>
  <r>
    <s v="E"/>
    <x v="4"/>
    <x v="4"/>
    <x v="1"/>
    <s v="spleen"/>
    <x v="2"/>
    <x v="2"/>
    <s v="4x"/>
    <n v="6863.4223770130311"/>
    <n v="7009.8098610534944"/>
    <n v="6936.6161190332623"/>
    <n v="5174.0128699750858"/>
    <n v="2587.1167829420342"/>
    <n v="3880.5648264585598"/>
  </r>
  <r>
    <s v="E"/>
    <x v="4"/>
    <x v="4"/>
    <x v="1"/>
    <s v="spleen"/>
    <x v="3"/>
    <x v="3"/>
    <s v="4x"/>
    <n v="7026.1041214420911"/>
    <n v="6207.9897739381686"/>
    <n v="6617.0469476901299"/>
    <n v="9375.965325951287"/>
    <n v="7445.0375030998866"/>
    <n v="8410.5014145255864"/>
  </r>
  <r>
    <s v="E"/>
    <x v="4"/>
    <x v="4"/>
    <x v="1"/>
    <s v="spleen"/>
    <x v="4"/>
    <x v="4"/>
    <s v="4x"/>
    <n v="12585.31747384982"/>
    <n v="14646.001633562611"/>
    <n v="13615.659553706217"/>
    <n v="16300.578120572911"/>
    <n v="13803.53557949982"/>
    <n v="15052.056850036366"/>
  </r>
  <r>
    <s v="E"/>
    <x v="4"/>
    <x v="4"/>
    <x v="1"/>
    <s v="spleen"/>
    <x v="5"/>
    <x v="5"/>
    <s v="4x"/>
    <n v="14191.388251507371"/>
    <n v="11161.367171733134"/>
    <n v="12676.377711620253"/>
    <n v="17744.887260022631"/>
    <n v="16844.428485097142"/>
    <n v="17294.657872559888"/>
  </r>
  <r>
    <s v="E"/>
    <x v="4"/>
    <x v="4"/>
    <x v="1"/>
    <s v="spleen"/>
    <x v="6"/>
    <x v="6"/>
    <s v="4x"/>
    <n v="734.19710972722282"/>
    <n v="462.20721313180559"/>
    <n v="598.20216142951426"/>
    <n v="16155.262061545314"/>
    <n v="16778.784172358501"/>
    <n v="16467.023116951907"/>
  </r>
  <r>
    <s v="E"/>
    <x v="4"/>
    <x v="4"/>
    <x v="2"/>
    <s v="spleen"/>
    <x v="0"/>
    <x v="0"/>
    <s v="4x"/>
    <n v="73.52474824888499"/>
    <n v="81.724332845930562"/>
    <n v="77.624540547407776"/>
    <n v="93.92124426146124"/>
    <n v="375.15755553864852"/>
    <n v="234.53939990005489"/>
  </r>
  <r>
    <s v="E"/>
    <x v="4"/>
    <x v="4"/>
    <x v="2"/>
    <s v="spleen"/>
    <x v="1"/>
    <x v="1"/>
    <s v="4x"/>
    <n v="133.34331330360914"/>
    <n v="1010.6731144275192"/>
    <n v="572.00821386556413"/>
    <n v="1157.9925725860996"/>
    <n v="397.93642157443969"/>
    <n v="777.96449708026967"/>
  </r>
  <r>
    <s v="E"/>
    <x v="4"/>
    <x v="4"/>
    <x v="2"/>
    <s v="spleen"/>
    <x v="2"/>
    <x v="2"/>
    <s v="4x"/>
    <n v="784.50311691881564"/>
    <n v="312.20861897244851"/>
    <n v="548.3558679456321"/>
    <n v="1084.5052583964216"/>
    <n v="1618.0214594859867"/>
    <n v="1351.2633589412042"/>
  </r>
  <r>
    <s v="E"/>
    <x v="4"/>
    <x v="4"/>
    <x v="2"/>
    <s v="spleen"/>
    <x v="3"/>
    <x v="3"/>
    <s v="4x"/>
    <n v="2298.887677147568"/>
    <n v="2317.2255746641181"/>
    <n v="2308.0566259058432"/>
    <n v="3299.6497895965504"/>
    <n v="3749.0767396241486"/>
    <n v="3524.3632646103497"/>
  </r>
  <r>
    <s v="E"/>
    <x v="4"/>
    <x v="4"/>
    <x v="2"/>
    <s v="spleen"/>
    <x v="4"/>
    <x v="4"/>
    <s v="4x"/>
    <n v="3552.013676686186"/>
    <n v="2858.2041376944208"/>
    <n v="3205.1089071903034"/>
    <n v="7873.8331334586792"/>
    <n v="9786.8193818969321"/>
    <n v="8830.3262576778052"/>
  </r>
  <r>
    <s v="E"/>
    <x v="4"/>
    <x v="4"/>
    <x v="2"/>
    <s v="spleen"/>
    <x v="5"/>
    <x v="5"/>
    <s v="4x"/>
    <n v="5836.5660393042144"/>
    <n v="2655.6661600096581"/>
    <n v="4246.1160996569361"/>
    <n v="15283.578404056578"/>
    <n v="16863.184362034131"/>
    <n v="16073.381383045355"/>
  </r>
  <r>
    <s v="E"/>
    <x v="4"/>
    <x v="4"/>
    <x v="2"/>
    <s v="spleen"/>
    <x v="6"/>
    <x v="6"/>
    <s v="4x"/>
    <n v="520.13983657724907"/>
    <n v="451.46314300594344"/>
    <n v="485.80148979159628"/>
    <n v="10833.212127469673"/>
    <n v="9744.7940773383507"/>
    <n v="10289.003102404011"/>
  </r>
  <r>
    <s v="F"/>
    <x v="5"/>
    <x v="5"/>
    <x v="0"/>
    <s v="spleen"/>
    <x v="0"/>
    <x v="0"/>
    <s v="4x"/>
    <n v="5.6091847624182911"/>
    <n v="202.49527696747879"/>
    <n v="104.05223086494854"/>
    <n v="227.47415552020036"/>
    <n v="63.286974462950987"/>
    <n v="145.38056499157568"/>
  </r>
  <r>
    <s v="F"/>
    <x v="5"/>
    <x v="5"/>
    <x v="0"/>
    <s v="spleen"/>
    <x v="1"/>
    <x v="1"/>
    <s v="4x"/>
    <n v="123.17571348964407"/>
    <n v="126.50539590004685"/>
    <n v="124.84055469484545"/>
    <n v="90.470392440429904"/>
    <n v="18.640181197806594"/>
    <n v="54.555286819118251"/>
  </r>
  <r>
    <s v="F"/>
    <x v="5"/>
    <x v="5"/>
    <x v="0"/>
    <s v="spleen"/>
    <x v="2"/>
    <x v="2"/>
    <s v="4x"/>
    <n v="81.119792227914914"/>
    <n v="41.969220937617315"/>
    <n v="61.544506582766118"/>
    <n v="186.27689285584455"/>
    <n v="543.75710983470242"/>
    <n v="365.01700134527346"/>
  </r>
  <r>
    <s v="F"/>
    <x v="5"/>
    <x v="5"/>
    <x v="0"/>
    <s v="spleen"/>
    <x v="3"/>
    <x v="3"/>
    <s v="4x"/>
    <n v="41.969220937617315"/>
    <n v="33.504221584025238"/>
    <n v="37.736721260821277"/>
    <n v="86.421833540478673"/>
    <n v="29.818046846656987"/>
    <n v="58.119940193567828"/>
  </r>
  <r>
    <s v="F"/>
    <x v="5"/>
    <x v="5"/>
    <x v="0"/>
    <s v="spleen"/>
    <x v="4"/>
    <x v="4"/>
    <s v="4x"/>
    <n v="33.504221584025238"/>
    <n v="25.32694119074165"/>
    <n v="29.415581387383444"/>
    <n v="63.286974462950987"/>
    <n v="111.475414312697"/>
    <n v="87.381194387823996"/>
  </r>
  <r>
    <s v="F"/>
    <x v="5"/>
    <x v="5"/>
    <x v="0"/>
    <s v="spleen"/>
    <x v="5"/>
    <x v="5"/>
    <s v="4x"/>
    <n v="198.9399117227558"/>
    <n v="25.32694119074165"/>
    <n v="112.13342645674872"/>
    <n v="598.74327250175611"/>
    <n v="334.00148671703187"/>
    <n v="466.37237960939399"/>
  </r>
  <r>
    <s v="F"/>
    <x v="5"/>
    <x v="5"/>
    <x v="0"/>
    <s v="spleen"/>
    <x v="6"/>
    <x v="6"/>
    <s v="4x"/>
    <n v="440.65031882550181"/>
    <n v="699.00240512084281"/>
    <n v="569.82636197317231"/>
    <n v="20208.869560479183"/>
    <n v="11769.33782792451"/>
    <n v="15989.103694201847"/>
  </r>
  <r>
    <s v="F"/>
    <x v="5"/>
    <x v="5"/>
    <x v="1"/>
    <s v="spleen"/>
    <x v="0"/>
    <x v="0"/>
    <s v="4x"/>
    <n v="573.94450989334064"/>
    <n v="10.145995689033004"/>
    <n v="292.04525279118684"/>
    <n v="691.21158898577676"/>
    <n v="201.45142971949426"/>
    <n v="446.33150935263552"/>
  </r>
  <r>
    <s v="F"/>
    <x v="5"/>
    <x v="5"/>
    <x v="1"/>
    <s v="spleen"/>
    <x v="1"/>
    <x v="1"/>
    <s v="4x"/>
    <n v="25.32694119074165"/>
    <n v="30.743831481099992"/>
    <n v="28.035386335920819"/>
    <n v="1145.7071477712352"/>
    <n v="63.286974462950987"/>
    <n v="604.49706111709315"/>
  </r>
  <r>
    <s v="F"/>
    <x v="5"/>
    <x v="5"/>
    <x v="1"/>
    <s v="spleen"/>
    <x v="2"/>
    <x v="2"/>
    <s v="4x"/>
    <n v="41.969220937617315"/>
    <n v="33.504221584025238"/>
    <n v="37.736721260821277"/>
    <n v="1603.5479974729785"/>
    <n v="52.522326346512237"/>
    <n v="828.0351619097454"/>
  </r>
  <r>
    <s v="F"/>
    <x v="5"/>
    <x v="5"/>
    <x v="1"/>
    <s v="spleen"/>
    <x v="3"/>
    <x v="3"/>
    <s v="4x"/>
    <n v="123.17571348964407"/>
    <n v="65.653608853422838"/>
    <n v="94.414661171533453"/>
    <n v="691.21158898577676"/>
    <n v="510.16620187443863"/>
    <n v="600.68889543010766"/>
  </r>
  <r>
    <s v="F"/>
    <x v="5"/>
    <x v="5"/>
    <x v="1"/>
    <s v="spleen"/>
    <x v="4"/>
    <x v="4"/>
    <s v="4x"/>
    <n v="28.017285376160189"/>
    <n v="312.76310498963164"/>
    <n v="170.39019518289592"/>
    <n v="5836.6657479302385"/>
    <n v="749.94594332163854"/>
    <n v="3293.3058456259387"/>
  </r>
  <r>
    <s v="F"/>
    <x v="5"/>
    <x v="5"/>
    <x v="1"/>
    <s v="spleen"/>
    <x v="5"/>
    <x v="5"/>
    <s v="4x"/>
    <n v="41.969220937617315"/>
    <n v="25.32694119074165"/>
    <n v="33.648081064179479"/>
    <n v="2022.9992002244692"/>
    <n v="4440.6143301609391"/>
    <n v="3231.806765192704"/>
  </r>
  <r>
    <s v="F"/>
    <x v="5"/>
    <x v="5"/>
    <x v="1"/>
    <s v="spleen"/>
    <x v="6"/>
    <x v="6"/>
    <s v="4x"/>
    <n v="1264.3682975994818"/>
    <n v="1752.5554592100304"/>
    <n v="1508.4618784047561"/>
    <n v="36980.855513871822"/>
    <n v="66143.037716685052"/>
    <n v="51561.946615278437"/>
  </r>
  <r>
    <s v="F"/>
    <x v="5"/>
    <x v="5"/>
    <x v="2"/>
    <s v="spleen"/>
    <x v="0"/>
    <x v="0"/>
    <s v="4x"/>
    <n v="0"/>
    <n v="12.536113042577528"/>
    <n v="6.2680565212887638"/>
    <n v="496.90145283411641"/>
    <n v="648.06625088769681"/>
    <n v="572.48385186090661"/>
  </r>
  <r>
    <s v="F"/>
    <x v="5"/>
    <x v="5"/>
    <x v="2"/>
    <s v="spleen"/>
    <x v="1"/>
    <x v="1"/>
    <s v="4x"/>
    <n v="17.503310850677124"/>
    <n v="7.8317181874504032"/>
    <n v="12.667514519063763"/>
    <n v="35.929367577313542"/>
    <n v="102.92468375075639"/>
    <n v="69.427025664034971"/>
  </r>
  <r>
    <s v="F"/>
    <x v="5"/>
    <x v="5"/>
    <x v="2"/>
    <s v="spleen"/>
    <x v="2"/>
    <x v="2"/>
    <s v="4x"/>
    <n v="22.675549883720727"/>
    <n v="25.32694119074165"/>
    <n v="24.001245537231188"/>
    <n v="1281.8991240028079"/>
    <n v="406.90890126757472"/>
    <n v="844.40401263519129"/>
  </r>
  <r>
    <s v="F"/>
    <x v="5"/>
    <x v="5"/>
    <x v="2"/>
    <s v="spleen"/>
    <x v="3"/>
    <x v="3"/>
    <s v="4x"/>
    <n v="28.017285376160189"/>
    <n v="68.710189293686639"/>
    <n v="48.363737334923414"/>
    <n v="49.06352136961484"/>
    <n v="357.84836417437003"/>
    <n v="203.45594277199243"/>
  </r>
  <r>
    <s v="F"/>
    <x v="5"/>
    <x v="5"/>
    <x v="2"/>
    <s v="spleen"/>
    <x v="4"/>
    <x v="4"/>
    <s v="4x"/>
    <n v="30.743831481099992"/>
    <n v="20.066366850138603"/>
    <n v="25.405099165619298"/>
    <n v="299.12425864009498"/>
    <n v="376.03604774187039"/>
    <n v="337.58015319098268"/>
  </r>
  <r>
    <s v="F"/>
    <x v="5"/>
    <x v="5"/>
    <x v="2"/>
    <s v="spleen"/>
    <x v="5"/>
    <x v="5"/>
    <s v="4x"/>
    <n v="41.969220937617315"/>
    <n v="28.017285376160189"/>
    <n v="34.993253156888755"/>
    <n v="1458.0779895199144"/>
    <n v="1369.1841086031648"/>
    <n v="1413.6310490615397"/>
  </r>
  <r>
    <s v="F"/>
    <x v="5"/>
    <x v="5"/>
    <x v="2"/>
    <s v="spleen"/>
    <x v="6"/>
    <x v="6"/>
    <s v="4x"/>
    <n v="350.86937385656063"/>
    <n v="206.0592843023579"/>
    <n v="278.46432907945928"/>
    <n v="60598.385512343331"/>
    <n v="53416.661183184144"/>
    <n v="57007.5233477637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5" indent="0" outline="1" outlineData="1" multipleFieldFilters="0">
  <location ref="A3:FY48" firstHeaderRow="1" firstDataRow="4" firstDataCol="1"/>
  <pivotFields count="14"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 defaultSubtotal="0">
      <items count="6">
        <item x="5"/>
        <item x="0"/>
        <item x="1"/>
        <item x="2"/>
        <item x="3"/>
        <item x="4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>
      <items count="8">
        <item x="6"/>
        <item x="1"/>
        <item x="2"/>
        <item x="5"/>
        <item x="3"/>
        <item x="4"/>
        <item x="0"/>
        <item t="default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/>
    <pivotField dataField="1" numFmtId="2" showAll="0"/>
    <pivotField dataField="1" numFmtId="2" showAll="0"/>
    <pivotField dataField="1" numFmtId="1" showAll="0" defaultSubtotal="0"/>
    <pivotField dataField="1" numFmtId="2" showAll="0"/>
    <pivotField dataField="1" numFmtId="2" showAll="0"/>
    <pivotField dataField="1" numFmtId="1" showAll="0"/>
  </pivotFields>
  <rowFields count="2">
    <field x="6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3">
    <field x="2"/>
    <field x="3"/>
    <field x="-2"/>
  </colFields>
  <colItems count="180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>
      <x v="2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>
      <x v="3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>
      <x v="4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>
      <x v="5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</colItems>
  <dataFields count="10">
    <dataField name="Sum of IL-17 mean" fld="10" baseField="0" baseItem="0"/>
    <dataField name="Antal af Group" fld="0" subtotal="count" baseField="0" baseItem="0"/>
    <dataField name="Antal af Organ" fld="4" subtotal="count" baseField="0" baseItem="0"/>
    <dataField name="Antal af Stimuli" fld="5" subtotal="count" baseField="0" baseItem="0"/>
    <dataField name="Sum af IL-17 rep.1" fld="8" baseField="0" baseItem="0"/>
    <dataField name="Antal af fortynding" fld="7" subtotal="count" baseField="0" baseItem="0"/>
    <dataField name="Sum af IL-17 rep.2" fld="9" baseField="0" baseItem="0"/>
    <dataField name="Sum af IFNg rep.1" fld="11" baseField="0" baseItem="0"/>
    <dataField name="Sum af IFNg rep.2" fld="12" baseField="0" baseItem="0"/>
    <dataField name="Sum af IFNg mea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Y48"/>
  <sheetViews>
    <sheetView workbookViewId="0">
      <selection activeCell="B9" sqref="B9"/>
    </sheetView>
  </sheetViews>
  <sheetFormatPr baseColWidth="10" defaultColWidth="8.83203125" defaultRowHeight="15"/>
  <cols>
    <col min="1" max="1" width="18.1640625" bestFit="1" customWidth="1"/>
    <col min="2" max="2" width="15.1640625" bestFit="1" customWidth="1"/>
    <col min="3" max="3" width="12.1640625" bestFit="1" customWidth="1"/>
    <col min="4" max="4" width="11.83203125" bestFit="1" customWidth="1"/>
    <col min="5" max="5" width="12.83203125" bestFit="1" customWidth="1"/>
    <col min="6" max="6" width="14.83203125" bestFit="1" customWidth="1"/>
    <col min="7" max="7" width="15.33203125" bestFit="1" customWidth="1"/>
    <col min="8" max="8" width="14.83203125" bestFit="1" customWidth="1"/>
    <col min="9" max="10" width="14.33203125" bestFit="1" customWidth="1"/>
    <col min="11" max="11" width="14.5" bestFit="1" customWidth="1"/>
    <col min="12" max="12" width="15.1640625" bestFit="1" customWidth="1"/>
    <col min="13" max="13" width="12.1640625" bestFit="1" customWidth="1"/>
    <col min="14" max="14" width="11.83203125" bestFit="1" customWidth="1"/>
    <col min="15" max="15" width="12.83203125" bestFit="1" customWidth="1"/>
    <col min="16" max="16" width="14.83203125" bestFit="1" customWidth="1"/>
    <col min="17" max="17" width="15.33203125" bestFit="1" customWidth="1"/>
    <col min="18" max="18" width="14.83203125" bestFit="1" customWidth="1"/>
    <col min="19" max="20" width="14.33203125" bestFit="1" customWidth="1"/>
    <col min="21" max="21" width="14.5" bestFit="1" customWidth="1"/>
    <col min="22" max="22" width="15.1640625" bestFit="1" customWidth="1"/>
    <col min="23" max="23" width="12.1640625" bestFit="1" customWidth="1"/>
    <col min="24" max="24" width="11.83203125" bestFit="1" customWidth="1"/>
    <col min="25" max="25" width="12.83203125" bestFit="1" customWidth="1"/>
    <col min="26" max="26" width="14.83203125" bestFit="1" customWidth="1"/>
    <col min="27" max="27" width="15.33203125" bestFit="1" customWidth="1"/>
    <col min="28" max="28" width="14.83203125" bestFit="1" customWidth="1"/>
    <col min="29" max="30" width="14.33203125" bestFit="1" customWidth="1"/>
    <col min="31" max="31" width="14.5" bestFit="1" customWidth="1"/>
    <col min="32" max="32" width="15.1640625" bestFit="1" customWidth="1"/>
    <col min="33" max="33" width="12.1640625" bestFit="1" customWidth="1"/>
    <col min="34" max="34" width="11.83203125" bestFit="1" customWidth="1"/>
    <col min="35" max="35" width="12.83203125" bestFit="1" customWidth="1"/>
    <col min="36" max="36" width="14.83203125" bestFit="1" customWidth="1"/>
    <col min="37" max="37" width="15.33203125" bestFit="1" customWidth="1"/>
    <col min="38" max="38" width="14.83203125" bestFit="1" customWidth="1"/>
    <col min="39" max="40" width="14.33203125" bestFit="1" customWidth="1"/>
    <col min="41" max="41" width="14.5" bestFit="1" customWidth="1"/>
    <col min="42" max="42" width="15.1640625" bestFit="1" customWidth="1"/>
    <col min="43" max="43" width="12.1640625" bestFit="1" customWidth="1"/>
    <col min="44" max="44" width="11.83203125" bestFit="1" customWidth="1"/>
    <col min="45" max="45" width="12.83203125" bestFit="1" customWidth="1"/>
    <col min="46" max="46" width="14.83203125" bestFit="1" customWidth="1"/>
    <col min="47" max="47" width="15.33203125" bestFit="1" customWidth="1"/>
    <col min="48" max="48" width="14.83203125" bestFit="1" customWidth="1"/>
    <col min="49" max="50" width="14.33203125" bestFit="1" customWidth="1"/>
    <col min="51" max="51" width="14.5" bestFit="1" customWidth="1"/>
    <col min="52" max="52" width="15.1640625" bestFit="1" customWidth="1"/>
    <col min="53" max="53" width="12.1640625" bestFit="1" customWidth="1"/>
    <col min="54" max="54" width="11.83203125" bestFit="1" customWidth="1"/>
    <col min="55" max="55" width="12.83203125" bestFit="1" customWidth="1"/>
    <col min="56" max="56" width="14.83203125" bestFit="1" customWidth="1"/>
    <col min="57" max="57" width="15.33203125" bestFit="1" customWidth="1"/>
    <col min="58" max="58" width="14.83203125" bestFit="1" customWidth="1"/>
    <col min="59" max="60" width="14.33203125" bestFit="1" customWidth="1"/>
    <col min="61" max="61" width="14.5" bestFit="1" customWidth="1"/>
    <col min="62" max="62" width="15.1640625" bestFit="1" customWidth="1"/>
    <col min="63" max="63" width="12.1640625" bestFit="1" customWidth="1"/>
    <col min="64" max="64" width="11.83203125" bestFit="1" customWidth="1"/>
    <col min="65" max="65" width="12.83203125" bestFit="1" customWidth="1"/>
    <col min="66" max="66" width="14.83203125" bestFit="1" customWidth="1"/>
    <col min="67" max="67" width="15.33203125" bestFit="1" customWidth="1"/>
    <col min="68" max="68" width="14.83203125" bestFit="1" customWidth="1"/>
    <col min="69" max="70" width="14.33203125" bestFit="1" customWidth="1"/>
    <col min="71" max="71" width="14.5" bestFit="1" customWidth="1"/>
    <col min="72" max="72" width="15.1640625" bestFit="1" customWidth="1"/>
    <col min="73" max="73" width="12.1640625" bestFit="1" customWidth="1"/>
    <col min="74" max="74" width="11.83203125" bestFit="1" customWidth="1"/>
    <col min="75" max="75" width="12.83203125" bestFit="1" customWidth="1"/>
    <col min="76" max="76" width="14.83203125" bestFit="1" customWidth="1"/>
    <col min="77" max="77" width="15.33203125" bestFit="1" customWidth="1"/>
    <col min="78" max="78" width="14.83203125" bestFit="1" customWidth="1"/>
    <col min="79" max="80" width="14.33203125" bestFit="1" customWidth="1"/>
    <col min="81" max="81" width="14.5" bestFit="1" customWidth="1"/>
    <col min="82" max="82" width="15.1640625" bestFit="1" customWidth="1"/>
    <col min="83" max="83" width="12.1640625" bestFit="1" customWidth="1"/>
    <col min="84" max="84" width="11.83203125" bestFit="1" customWidth="1"/>
    <col min="85" max="85" width="12.83203125" bestFit="1" customWidth="1"/>
    <col min="86" max="86" width="14.83203125" bestFit="1" customWidth="1"/>
    <col min="87" max="87" width="15.33203125" bestFit="1" customWidth="1"/>
    <col min="88" max="88" width="14.83203125" bestFit="1" customWidth="1"/>
    <col min="89" max="90" width="14.33203125" bestFit="1" customWidth="1"/>
    <col min="91" max="91" width="14.5" bestFit="1" customWidth="1"/>
    <col min="92" max="92" width="15.1640625" bestFit="1" customWidth="1"/>
    <col min="93" max="93" width="12.1640625" bestFit="1" customWidth="1"/>
    <col min="94" max="94" width="11.83203125" bestFit="1" customWidth="1"/>
    <col min="95" max="95" width="12.83203125" bestFit="1" customWidth="1"/>
    <col min="96" max="96" width="14.83203125" bestFit="1" customWidth="1"/>
    <col min="97" max="97" width="15.33203125" bestFit="1" customWidth="1"/>
    <col min="98" max="98" width="14.83203125" bestFit="1" customWidth="1"/>
    <col min="99" max="100" width="14.33203125" bestFit="1" customWidth="1"/>
    <col min="101" max="101" width="14.5" bestFit="1" customWidth="1"/>
    <col min="102" max="102" width="15.1640625" bestFit="1" customWidth="1"/>
    <col min="103" max="103" width="12.1640625" bestFit="1" customWidth="1"/>
    <col min="104" max="104" width="11.83203125" bestFit="1" customWidth="1"/>
    <col min="105" max="105" width="12.83203125" bestFit="1" customWidth="1"/>
    <col min="106" max="106" width="14.83203125" bestFit="1" customWidth="1"/>
    <col min="107" max="107" width="15.33203125" bestFit="1" customWidth="1"/>
    <col min="108" max="108" width="14.83203125" bestFit="1" customWidth="1"/>
    <col min="109" max="110" width="14.33203125" bestFit="1" customWidth="1"/>
    <col min="111" max="111" width="14.5" bestFit="1" customWidth="1"/>
    <col min="112" max="112" width="15.1640625" bestFit="1" customWidth="1"/>
    <col min="113" max="113" width="12.1640625" bestFit="1" customWidth="1"/>
    <col min="114" max="114" width="11.83203125" bestFit="1" customWidth="1"/>
    <col min="115" max="115" width="12.83203125" bestFit="1" customWidth="1"/>
    <col min="116" max="116" width="14.83203125" bestFit="1" customWidth="1"/>
    <col min="117" max="117" width="15.33203125" bestFit="1" customWidth="1"/>
    <col min="118" max="118" width="14.83203125" bestFit="1" customWidth="1"/>
    <col min="119" max="120" width="14.33203125" bestFit="1" customWidth="1"/>
    <col min="121" max="121" width="14.5" bestFit="1" customWidth="1"/>
    <col min="122" max="122" width="15.1640625" bestFit="1" customWidth="1"/>
    <col min="123" max="123" width="12.1640625" bestFit="1" customWidth="1"/>
    <col min="124" max="124" width="11.83203125" bestFit="1" customWidth="1"/>
    <col min="125" max="125" width="12.83203125" bestFit="1" customWidth="1"/>
    <col min="126" max="126" width="14.83203125" bestFit="1" customWidth="1"/>
    <col min="127" max="127" width="15.33203125" bestFit="1" customWidth="1"/>
    <col min="128" max="128" width="14.83203125" bestFit="1" customWidth="1"/>
    <col min="129" max="130" width="14.33203125" bestFit="1" customWidth="1"/>
    <col min="131" max="131" width="14.5" bestFit="1" customWidth="1"/>
    <col min="132" max="132" width="15.1640625" bestFit="1" customWidth="1"/>
    <col min="133" max="133" width="12.1640625" bestFit="1" customWidth="1"/>
    <col min="134" max="134" width="11.83203125" bestFit="1" customWidth="1"/>
    <col min="135" max="135" width="12.83203125" bestFit="1" customWidth="1"/>
    <col min="136" max="136" width="14.83203125" bestFit="1" customWidth="1"/>
    <col min="137" max="137" width="15.33203125" bestFit="1" customWidth="1"/>
    <col min="138" max="138" width="14.83203125" bestFit="1" customWidth="1"/>
    <col min="139" max="140" width="14.33203125" bestFit="1" customWidth="1"/>
    <col min="141" max="141" width="14.5" bestFit="1" customWidth="1"/>
    <col min="142" max="142" width="15.1640625" bestFit="1" customWidth="1"/>
    <col min="143" max="143" width="12.1640625" bestFit="1" customWidth="1"/>
    <col min="144" max="144" width="11.83203125" bestFit="1" customWidth="1"/>
    <col min="145" max="145" width="12.83203125" bestFit="1" customWidth="1"/>
    <col min="146" max="146" width="14.83203125" bestFit="1" customWidth="1"/>
    <col min="147" max="147" width="15.33203125" bestFit="1" customWidth="1"/>
    <col min="148" max="148" width="14.83203125" bestFit="1" customWidth="1"/>
    <col min="149" max="150" width="14.33203125" bestFit="1" customWidth="1"/>
    <col min="151" max="151" width="14.5" bestFit="1" customWidth="1"/>
    <col min="152" max="152" width="15.1640625" bestFit="1" customWidth="1"/>
    <col min="153" max="153" width="12.1640625" bestFit="1" customWidth="1"/>
    <col min="154" max="154" width="11.83203125" bestFit="1" customWidth="1"/>
    <col min="155" max="155" width="12.83203125" bestFit="1" customWidth="1"/>
    <col min="156" max="156" width="14.83203125" bestFit="1" customWidth="1"/>
    <col min="157" max="157" width="15.33203125" bestFit="1" customWidth="1"/>
    <col min="158" max="158" width="14.83203125" bestFit="1" customWidth="1"/>
    <col min="159" max="160" width="14.33203125" bestFit="1" customWidth="1"/>
    <col min="161" max="161" width="14.5" bestFit="1" customWidth="1"/>
    <col min="162" max="162" width="15.1640625" bestFit="1" customWidth="1"/>
    <col min="163" max="163" width="12.1640625" bestFit="1" customWidth="1"/>
    <col min="164" max="164" width="11.83203125" bestFit="1" customWidth="1"/>
    <col min="165" max="165" width="12.83203125" bestFit="1" customWidth="1"/>
    <col min="166" max="166" width="14.83203125" bestFit="1" customWidth="1"/>
    <col min="167" max="167" width="15.33203125" bestFit="1" customWidth="1"/>
    <col min="168" max="168" width="14.83203125" bestFit="1" customWidth="1"/>
    <col min="169" max="170" width="14.33203125" bestFit="1" customWidth="1"/>
    <col min="171" max="171" width="14.5" bestFit="1" customWidth="1"/>
    <col min="172" max="172" width="15.1640625" bestFit="1" customWidth="1"/>
    <col min="173" max="173" width="12.1640625" bestFit="1" customWidth="1"/>
    <col min="174" max="174" width="11.83203125" bestFit="1" customWidth="1"/>
    <col min="175" max="175" width="12.83203125" bestFit="1" customWidth="1"/>
    <col min="176" max="176" width="14.83203125" bestFit="1" customWidth="1"/>
    <col min="177" max="177" width="15.33203125" bestFit="1" customWidth="1"/>
    <col min="178" max="178" width="14.83203125" bestFit="1" customWidth="1"/>
    <col min="179" max="180" width="14.33203125" bestFit="1" customWidth="1"/>
    <col min="181" max="181" width="14.5" bestFit="1" customWidth="1"/>
  </cols>
  <sheetData>
    <row r="3" spans="1:181">
      <c r="B3" s="45" t="s">
        <v>37</v>
      </c>
    </row>
    <row r="4" spans="1:181">
      <c r="B4">
        <v>0</v>
      </c>
      <c r="AF4">
        <v>5.0000000000000001E-3</v>
      </c>
      <c r="BJ4">
        <v>0.05</v>
      </c>
      <c r="CN4">
        <v>0.5</v>
      </c>
      <c r="DR4">
        <v>5</v>
      </c>
      <c r="EV4">
        <v>50</v>
      </c>
    </row>
    <row r="5" spans="1:181">
      <c r="B5">
        <v>1</v>
      </c>
      <c r="L5">
        <v>2</v>
      </c>
      <c r="V5">
        <v>3</v>
      </c>
      <c r="AF5">
        <v>1</v>
      </c>
      <c r="AP5">
        <v>2</v>
      </c>
      <c r="AZ5">
        <v>3</v>
      </c>
      <c r="BJ5">
        <v>1</v>
      </c>
      <c r="BT5">
        <v>2</v>
      </c>
      <c r="CD5">
        <v>3</v>
      </c>
      <c r="CN5">
        <v>1</v>
      </c>
      <c r="CX5">
        <v>2</v>
      </c>
      <c r="DH5">
        <v>3</v>
      </c>
      <c r="DR5">
        <v>1</v>
      </c>
      <c r="EB5">
        <v>2</v>
      </c>
      <c r="EL5">
        <v>3</v>
      </c>
      <c r="EV5">
        <v>1</v>
      </c>
      <c r="FF5">
        <v>2</v>
      </c>
      <c r="FP5">
        <v>3</v>
      </c>
    </row>
    <row r="6" spans="1:181">
      <c r="A6" s="45" t="s">
        <v>38</v>
      </c>
      <c r="B6" t="s">
        <v>33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33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45</v>
      </c>
      <c r="T6" t="s">
        <v>46</v>
      </c>
      <c r="U6" t="s">
        <v>47</v>
      </c>
      <c r="V6" t="s">
        <v>33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33</v>
      </c>
      <c r="AG6" t="s">
        <v>39</v>
      </c>
      <c r="AH6" t="s">
        <v>40</v>
      </c>
      <c r="AI6" t="s">
        <v>41</v>
      </c>
      <c r="AJ6" t="s">
        <v>42</v>
      </c>
      <c r="AK6" t="s">
        <v>43</v>
      </c>
      <c r="AL6" t="s">
        <v>44</v>
      </c>
      <c r="AM6" t="s">
        <v>45</v>
      </c>
      <c r="AN6" t="s">
        <v>46</v>
      </c>
      <c r="AO6" t="s">
        <v>47</v>
      </c>
      <c r="AP6" t="s">
        <v>33</v>
      </c>
      <c r="AQ6" t="s">
        <v>39</v>
      </c>
      <c r="AR6" t="s">
        <v>40</v>
      </c>
      <c r="AS6" t="s">
        <v>41</v>
      </c>
      <c r="AT6" t="s">
        <v>42</v>
      </c>
      <c r="AU6" t="s">
        <v>43</v>
      </c>
      <c r="AV6" t="s">
        <v>44</v>
      </c>
      <c r="AW6" t="s">
        <v>45</v>
      </c>
      <c r="AX6" t="s">
        <v>46</v>
      </c>
      <c r="AY6" t="s">
        <v>47</v>
      </c>
      <c r="AZ6" t="s">
        <v>33</v>
      </c>
      <c r="BA6" t="s">
        <v>39</v>
      </c>
      <c r="BB6" t="s">
        <v>40</v>
      </c>
      <c r="BC6" t="s">
        <v>41</v>
      </c>
      <c r="BD6" t="s">
        <v>42</v>
      </c>
      <c r="BE6" t="s">
        <v>43</v>
      </c>
      <c r="BF6" t="s">
        <v>44</v>
      </c>
      <c r="BG6" t="s">
        <v>45</v>
      </c>
      <c r="BH6" t="s">
        <v>46</v>
      </c>
      <c r="BI6" t="s">
        <v>47</v>
      </c>
      <c r="BJ6" t="s">
        <v>33</v>
      </c>
      <c r="BK6" t="s">
        <v>39</v>
      </c>
      <c r="BL6" t="s">
        <v>40</v>
      </c>
      <c r="BM6" t="s">
        <v>41</v>
      </c>
      <c r="BN6" t="s">
        <v>42</v>
      </c>
      <c r="BO6" t="s">
        <v>43</v>
      </c>
      <c r="BP6" t="s">
        <v>44</v>
      </c>
      <c r="BQ6" t="s">
        <v>45</v>
      </c>
      <c r="BR6" t="s">
        <v>46</v>
      </c>
      <c r="BS6" t="s">
        <v>47</v>
      </c>
      <c r="BT6" t="s">
        <v>33</v>
      </c>
      <c r="BU6" t="s">
        <v>39</v>
      </c>
      <c r="BV6" t="s">
        <v>40</v>
      </c>
      <c r="BW6" t="s">
        <v>41</v>
      </c>
      <c r="BX6" t="s">
        <v>42</v>
      </c>
      <c r="BY6" t="s">
        <v>43</v>
      </c>
      <c r="BZ6" t="s">
        <v>44</v>
      </c>
      <c r="CA6" t="s">
        <v>45</v>
      </c>
      <c r="CB6" t="s">
        <v>46</v>
      </c>
      <c r="CC6" t="s">
        <v>47</v>
      </c>
      <c r="CD6" t="s">
        <v>33</v>
      </c>
      <c r="CE6" t="s">
        <v>39</v>
      </c>
      <c r="CF6" t="s">
        <v>40</v>
      </c>
      <c r="CG6" t="s">
        <v>41</v>
      </c>
      <c r="CH6" t="s">
        <v>42</v>
      </c>
      <c r="CI6" t="s">
        <v>43</v>
      </c>
      <c r="CJ6" t="s">
        <v>44</v>
      </c>
      <c r="CK6" t="s">
        <v>45</v>
      </c>
      <c r="CL6" t="s">
        <v>46</v>
      </c>
      <c r="CM6" t="s">
        <v>47</v>
      </c>
      <c r="CN6" t="s">
        <v>33</v>
      </c>
      <c r="CO6" t="s">
        <v>39</v>
      </c>
      <c r="CP6" t="s">
        <v>40</v>
      </c>
      <c r="CQ6" t="s">
        <v>41</v>
      </c>
      <c r="CR6" t="s">
        <v>42</v>
      </c>
      <c r="CS6" t="s">
        <v>43</v>
      </c>
      <c r="CT6" t="s">
        <v>44</v>
      </c>
      <c r="CU6" t="s">
        <v>45</v>
      </c>
      <c r="CV6" t="s">
        <v>46</v>
      </c>
      <c r="CW6" t="s">
        <v>47</v>
      </c>
      <c r="CX6" t="s">
        <v>33</v>
      </c>
      <c r="CY6" t="s">
        <v>39</v>
      </c>
      <c r="CZ6" t="s">
        <v>40</v>
      </c>
      <c r="DA6" t="s">
        <v>41</v>
      </c>
      <c r="DB6" t="s">
        <v>42</v>
      </c>
      <c r="DC6" t="s">
        <v>43</v>
      </c>
      <c r="DD6" t="s">
        <v>44</v>
      </c>
      <c r="DE6" t="s">
        <v>45</v>
      </c>
      <c r="DF6" t="s">
        <v>46</v>
      </c>
      <c r="DG6" t="s">
        <v>47</v>
      </c>
      <c r="DH6" t="s">
        <v>33</v>
      </c>
      <c r="DI6" t="s">
        <v>39</v>
      </c>
      <c r="DJ6" t="s">
        <v>40</v>
      </c>
      <c r="DK6" t="s">
        <v>41</v>
      </c>
      <c r="DL6" t="s">
        <v>42</v>
      </c>
      <c r="DM6" t="s">
        <v>43</v>
      </c>
      <c r="DN6" t="s">
        <v>44</v>
      </c>
      <c r="DO6" t="s">
        <v>45</v>
      </c>
      <c r="DP6" t="s">
        <v>46</v>
      </c>
      <c r="DQ6" t="s">
        <v>47</v>
      </c>
      <c r="DR6" t="s">
        <v>33</v>
      </c>
      <c r="DS6" t="s">
        <v>39</v>
      </c>
      <c r="DT6" t="s">
        <v>40</v>
      </c>
      <c r="DU6" t="s">
        <v>41</v>
      </c>
      <c r="DV6" t="s">
        <v>42</v>
      </c>
      <c r="DW6" t="s">
        <v>43</v>
      </c>
      <c r="DX6" t="s">
        <v>44</v>
      </c>
      <c r="DY6" t="s">
        <v>45</v>
      </c>
      <c r="DZ6" t="s">
        <v>46</v>
      </c>
      <c r="EA6" t="s">
        <v>47</v>
      </c>
      <c r="EB6" t="s">
        <v>33</v>
      </c>
      <c r="EC6" t="s">
        <v>39</v>
      </c>
      <c r="ED6" t="s">
        <v>40</v>
      </c>
      <c r="EE6" t="s">
        <v>41</v>
      </c>
      <c r="EF6" t="s">
        <v>42</v>
      </c>
      <c r="EG6" t="s">
        <v>43</v>
      </c>
      <c r="EH6" t="s">
        <v>44</v>
      </c>
      <c r="EI6" t="s">
        <v>45</v>
      </c>
      <c r="EJ6" t="s">
        <v>46</v>
      </c>
      <c r="EK6" t="s">
        <v>47</v>
      </c>
      <c r="EL6" t="s">
        <v>33</v>
      </c>
      <c r="EM6" t="s">
        <v>39</v>
      </c>
      <c r="EN6" t="s">
        <v>40</v>
      </c>
      <c r="EO6" t="s">
        <v>41</v>
      </c>
      <c r="EP6" t="s">
        <v>42</v>
      </c>
      <c r="EQ6" t="s">
        <v>43</v>
      </c>
      <c r="ER6" t="s">
        <v>44</v>
      </c>
      <c r="ES6" t="s">
        <v>45</v>
      </c>
      <c r="ET6" t="s">
        <v>46</v>
      </c>
      <c r="EU6" t="s">
        <v>47</v>
      </c>
      <c r="EV6" t="s">
        <v>33</v>
      </c>
      <c r="EW6" t="s">
        <v>39</v>
      </c>
      <c r="EX6" t="s">
        <v>40</v>
      </c>
      <c r="EY6" t="s">
        <v>41</v>
      </c>
      <c r="EZ6" t="s">
        <v>42</v>
      </c>
      <c r="FA6" t="s">
        <v>43</v>
      </c>
      <c r="FB6" t="s">
        <v>44</v>
      </c>
      <c r="FC6" t="s">
        <v>45</v>
      </c>
      <c r="FD6" t="s">
        <v>46</v>
      </c>
      <c r="FE6" t="s">
        <v>47</v>
      </c>
      <c r="FF6" t="s">
        <v>33</v>
      </c>
      <c r="FG6" t="s">
        <v>39</v>
      </c>
      <c r="FH6" t="s">
        <v>40</v>
      </c>
      <c r="FI6" t="s">
        <v>41</v>
      </c>
      <c r="FJ6" t="s">
        <v>42</v>
      </c>
      <c r="FK6" t="s">
        <v>43</v>
      </c>
      <c r="FL6" t="s">
        <v>44</v>
      </c>
      <c r="FM6" t="s">
        <v>45</v>
      </c>
      <c r="FN6" t="s">
        <v>46</v>
      </c>
      <c r="FO6" t="s">
        <v>47</v>
      </c>
      <c r="FP6" t="s">
        <v>33</v>
      </c>
      <c r="FQ6" t="s">
        <v>39</v>
      </c>
      <c r="FR6" t="s">
        <v>40</v>
      </c>
      <c r="FS6" t="s">
        <v>41</v>
      </c>
      <c r="FT6" t="s">
        <v>42</v>
      </c>
      <c r="FU6" t="s">
        <v>43</v>
      </c>
      <c r="FV6" t="s">
        <v>44</v>
      </c>
      <c r="FW6" t="s">
        <v>45</v>
      </c>
      <c r="FX6" t="s">
        <v>46</v>
      </c>
      <c r="FY6" t="s">
        <v>47</v>
      </c>
    </row>
    <row r="7" spans="1:181">
      <c r="A7" s="46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</row>
    <row r="8" spans="1:181">
      <c r="A8" s="52" t="s">
        <v>7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>
        <v>585.71819872864023</v>
      </c>
      <c r="AG8" s="48">
        <v>1</v>
      </c>
      <c r="AH8" s="48">
        <v>1</v>
      </c>
      <c r="AI8" s="48">
        <v>1</v>
      </c>
      <c r="AJ8" s="48">
        <v>358.57336760450937</v>
      </c>
      <c r="AK8" s="48">
        <v>1</v>
      </c>
      <c r="AL8" s="48">
        <v>812.86302985277109</v>
      </c>
      <c r="AM8" s="48">
        <v>466.42271884737994</v>
      </c>
      <c r="AN8" s="48">
        <v>1116.2105224398442</v>
      </c>
      <c r="AO8" s="48">
        <v>791.31662064361205</v>
      </c>
      <c r="AP8" s="48">
        <v>79.983206552960951</v>
      </c>
      <c r="AQ8" s="48">
        <v>1</v>
      </c>
      <c r="AR8" s="48">
        <v>1</v>
      </c>
      <c r="AS8" s="48">
        <v>1</v>
      </c>
      <c r="AT8" s="48">
        <v>64.951511466153505</v>
      </c>
      <c r="AU8" s="48">
        <v>1</v>
      </c>
      <c r="AV8" s="48">
        <v>95.014901639768382</v>
      </c>
      <c r="AW8" s="48">
        <v>999.02289576739031</v>
      </c>
      <c r="AX8" s="48">
        <v>1260.6322248319784</v>
      </c>
      <c r="AY8" s="48">
        <v>1129.8275602996844</v>
      </c>
      <c r="AZ8" s="48">
        <v>2198.8305585527578</v>
      </c>
      <c r="BA8" s="48">
        <v>1</v>
      </c>
      <c r="BB8" s="48">
        <v>1</v>
      </c>
      <c r="BC8" s="48">
        <v>1</v>
      </c>
      <c r="BD8" s="48">
        <v>1797.8199998974769</v>
      </c>
      <c r="BE8" s="48">
        <v>1</v>
      </c>
      <c r="BF8" s="48">
        <v>2599.8411172080391</v>
      </c>
      <c r="BG8" s="48">
        <v>438.92735250135451</v>
      </c>
      <c r="BH8" s="48">
        <v>1463.4233810621101</v>
      </c>
      <c r="BI8" s="48">
        <v>951.17536678173235</v>
      </c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</row>
    <row r="9" spans="1:181">
      <c r="A9" s="52" t="s">
        <v>18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>
        <v>65.737656785500022</v>
      </c>
      <c r="BK9" s="48">
        <v>1</v>
      </c>
      <c r="BL9" s="48">
        <v>1</v>
      </c>
      <c r="BM9" s="48">
        <v>1</v>
      </c>
      <c r="BN9" s="48">
        <v>131.47531357100004</v>
      </c>
      <c r="BO9" s="48">
        <v>1</v>
      </c>
      <c r="BP9" s="48">
        <v>0</v>
      </c>
      <c r="BQ9" s="48">
        <v>330.38225568002099</v>
      </c>
      <c r="BR9" s="48">
        <v>198.49930190363631</v>
      </c>
      <c r="BS9" s="48">
        <v>264.44077879182862</v>
      </c>
      <c r="BT9" s="48">
        <v>197.90651599722506</v>
      </c>
      <c r="BU9" s="48">
        <v>1</v>
      </c>
      <c r="BV9" s="48">
        <v>1</v>
      </c>
      <c r="BW9" s="48">
        <v>1</v>
      </c>
      <c r="BX9" s="48">
        <v>342.71875245935666</v>
      </c>
      <c r="BY9" s="48">
        <v>1</v>
      </c>
      <c r="BZ9" s="48">
        <v>53.094279535093463</v>
      </c>
      <c r="CA9" s="48">
        <v>240.9570291064787</v>
      </c>
      <c r="CB9" s="48">
        <v>158.29085296533003</v>
      </c>
      <c r="CC9" s="48">
        <v>199.62394103590435</v>
      </c>
      <c r="CD9" s="48">
        <v>4.8112573444169788</v>
      </c>
      <c r="CE9" s="48">
        <v>1</v>
      </c>
      <c r="CF9" s="48">
        <v>1</v>
      </c>
      <c r="CG9" s="48">
        <v>1</v>
      </c>
      <c r="CH9" s="48">
        <v>9.6225146888339577</v>
      </c>
      <c r="CI9" s="48">
        <v>1</v>
      </c>
      <c r="CJ9" s="48">
        <v>0</v>
      </c>
      <c r="CK9" s="48">
        <v>153.82427379926855</v>
      </c>
      <c r="CL9" s="48">
        <v>6.6514621026749028</v>
      </c>
      <c r="CM9" s="48">
        <v>80.237867950971733</v>
      </c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</row>
    <row r="10" spans="1:181">
      <c r="A10" s="52" t="s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>
        <v>268.81182639599245</v>
      </c>
      <c r="CO10" s="48">
        <v>1</v>
      </c>
      <c r="CP10" s="48">
        <v>1</v>
      </c>
      <c r="CQ10" s="48">
        <v>1</v>
      </c>
      <c r="CR10" s="48">
        <v>369.2039814505444</v>
      </c>
      <c r="CS10" s="48">
        <v>1</v>
      </c>
      <c r="CT10" s="48">
        <v>168.41967134144048</v>
      </c>
      <c r="CU10" s="48">
        <v>277.79541900827383</v>
      </c>
      <c r="CV10" s="48">
        <v>95.938371738015377</v>
      </c>
      <c r="CW10" s="48">
        <v>186.86689537314459</v>
      </c>
      <c r="CX10" s="48">
        <v>106.56822275239304</v>
      </c>
      <c r="CY10" s="48">
        <v>1</v>
      </c>
      <c r="CZ10" s="48">
        <v>1</v>
      </c>
      <c r="DA10" s="48">
        <v>1</v>
      </c>
      <c r="DB10" s="48">
        <v>154.09988395959127</v>
      </c>
      <c r="DC10" s="48">
        <v>1</v>
      </c>
      <c r="DD10" s="48">
        <v>59.036561545194807</v>
      </c>
      <c r="DE10" s="48">
        <v>7.5910010617358292</v>
      </c>
      <c r="DF10" s="48">
        <v>124.58375809690487</v>
      </c>
      <c r="DG10" s="48">
        <v>66.087379579320356</v>
      </c>
      <c r="DH10" s="48">
        <v>0</v>
      </c>
      <c r="DI10" s="48">
        <v>1</v>
      </c>
      <c r="DJ10" s="48">
        <v>1</v>
      </c>
      <c r="DK10" s="48">
        <v>1</v>
      </c>
      <c r="DL10" s="48">
        <v>0</v>
      </c>
      <c r="DM10" s="48">
        <v>1</v>
      </c>
      <c r="DN10" s="48">
        <v>0</v>
      </c>
      <c r="DO10" s="48">
        <v>138.95940437547526</v>
      </c>
      <c r="DP10" s="48">
        <v>232.00236562495601</v>
      </c>
      <c r="DQ10" s="48">
        <v>185.48088500021564</v>
      </c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</row>
    <row r="11" spans="1:181">
      <c r="A11" s="52" t="s">
        <v>22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>
        <v>0</v>
      </c>
      <c r="DS11" s="48">
        <v>1</v>
      </c>
      <c r="DT11" s="48">
        <v>1</v>
      </c>
      <c r="DU11" s="48">
        <v>1</v>
      </c>
      <c r="DV11" s="48">
        <v>0</v>
      </c>
      <c r="DW11" s="48">
        <v>1</v>
      </c>
      <c r="DX11" s="48">
        <v>0</v>
      </c>
      <c r="DY11" s="48">
        <v>409.98950500007317</v>
      </c>
      <c r="DZ11" s="48">
        <v>1018.0057641404642</v>
      </c>
      <c r="EA11" s="48">
        <v>713.9976345702687</v>
      </c>
      <c r="EB11" s="48">
        <v>244.76438439742492</v>
      </c>
      <c r="EC11" s="48">
        <v>1</v>
      </c>
      <c r="ED11" s="48">
        <v>1</v>
      </c>
      <c r="EE11" s="48">
        <v>1</v>
      </c>
      <c r="EF11" s="48">
        <v>0</v>
      </c>
      <c r="EG11" s="48">
        <v>1</v>
      </c>
      <c r="EH11" s="48">
        <v>489.52876879484984</v>
      </c>
      <c r="EI11" s="48">
        <v>718.86618486858174</v>
      </c>
      <c r="EJ11" s="48">
        <v>188.51670539909074</v>
      </c>
      <c r="EK11" s="48">
        <v>453.69144513383623</v>
      </c>
      <c r="EL11" s="48">
        <v>0</v>
      </c>
      <c r="EM11" s="48">
        <v>1</v>
      </c>
      <c r="EN11" s="48">
        <v>1</v>
      </c>
      <c r="EO11" s="48">
        <v>1</v>
      </c>
      <c r="EP11" s="48">
        <v>0</v>
      </c>
      <c r="EQ11" s="48">
        <v>1</v>
      </c>
      <c r="ER11" s="48">
        <v>0</v>
      </c>
      <c r="ES11" s="48">
        <v>125.39315290102854</v>
      </c>
      <c r="ET11" s="48">
        <v>367.87101789173329</v>
      </c>
      <c r="EU11" s="48">
        <v>246.63208539638092</v>
      </c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</row>
    <row r="12" spans="1:181">
      <c r="A12" s="52" t="s">
        <v>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>
        <v>161.47656913997679</v>
      </c>
      <c r="EW12" s="48">
        <v>1</v>
      </c>
      <c r="EX12" s="48">
        <v>1</v>
      </c>
      <c r="EY12" s="48">
        <v>1</v>
      </c>
      <c r="EZ12" s="48">
        <v>302.09549464848362</v>
      </c>
      <c r="FA12" s="48">
        <v>1</v>
      </c>
      <c r="FB12" s="48">
        <v>20.857643631469927</v>
      </c>
      <c r="FC12" s="48">
        <v>717.70046079556505</v>
      </c>
      <c r="FD12" s="48">
        <v>206.97686795553264</v>
      </c>
      <c r="FE12" s="48">
        <v>462.33866437554883</v>
      </c>
      <c r="FF12" s="48">
        <v>677.19197222167054</v>
      </c>
      <c r="FG12" s="48">
        <v>1</v>
      </c>
      <c r="FH12" s="48">
        <v>1</v>
      </c>
      <c r="FI12" s="48">
        <v>1</v>
      </c>
      <c r="FJ12" s="48">
        <v>229.58690354224518</v>
      </c>
      <c r="FK12" s="48">
        <v>1</v>
      </c>
      <c r="FL12" s="48">
        <v>1124.7970409010959</v>
      </c>
      <c r="FM12" s="48">
        <v>2397.653899099093</v>
      </c>
      <c r="FN12" s="48">
        <v>1052.3663620517209</v>
      </c>
      <c r="FO12" s="48">
        <v>1725.0101305754069</v>
      </c>
      <c r="FP12" s="48">
        <v>77.624540547407776</v>
      </c>
      <c r="FQ12" s="48">
        <v>1</v>
      </c>
      <c r="FR12" s="48">
        <v>1</v>
      </c>
      <c r="FS12" s="48">
        <v>1</v>
      </c>
      <c r="FT12" s="48">
        <v>73.52474824888499</v>
      </c>
      <c r="FU12" s="48">
        <v>1</v>
      </c>
      <c r="FV12" s="48">
        <v>81.724332845930562</v>
      </c>
      <c r="FW12" s="48">
        <v>93.92124426146124</v>
      </c>
      <c r="FX12" s="48">
        <v>375.15755553864852</v>
      </c>
      <c r="FY12" s="48">
        <v>234.53939990005489</v>
      </c>
    </row>
    <row r="13" spans="1:181">
      <c r="A13" s="52" t="s">
        <v>26</v>
      </c>
      <c r="B13" s="48">
        <v>104.05223086494854</v>
      </c>
      <c r="C13" s="48">
        <v>1</v>
      </c>
      <c r="D13" s="48">
        <v>1</v>
      </c>
      <c r="E13" s="48">
        <v>1</v>
      </c>
      <c r="F13" s="48">
        <v>5.6091847624182911</v>
      </c>
      <c r="G13" s="48">
        <v>1</v>
      </c>
      <c r="H13" s="48">
        <v>202.49527696747879</v>
      </c>
      <c r="I13" s="48">
        <v>227.47415552020036</v>
      </c>
      <c r="J13" s="48">
        <v>63.286974462950987</v>
      </c>
      <c r="K13" s="48">
        <v>145.38056499157568</v>
      </c>
      <c r="L13" s="48">
        <v>292.04525279118684</v>
      </c>
      <c r="M13" s="48">
        <v>1</v>
      </c>
      <c r="N13" s="48">
        <v>1</v>
      </c>
      <c r="O13" s="48">
        <v>1</v>
      </c>
      <c r="P13" s="48">
        <v>573.94450989334064</v>
      </c>
      <c r="Q13" s="48">
        <v>1</v>
      </c>
      <c r="R13" s="48">
        <v>10.145995689033004</v>
      </c>
      <c r="S13" s="48">
        <v>691.21158898577676</v>
      </c>
      <c r="T13" s="48">
        <v>201.45142971949426</v>
      </c>
      <c r="U13" s="48">
        <v>446.33150935263552</v>
      </c>
      <c r="V13" s="48">
        <v>6.2680565212887638</v>
      </c>
      <c r="W13" s="48">
        <v>1</v>
      </c>
      <c r="X13" s="48">
        <v>1</v>
      </c>
      <c r="Y13" s="48">
        <v>1</v>
      </c>
      <c r="Z13" s="48">
        <v>0</v>
      </c>
      <c r="AA13" s="48">
        <v>1</v>
      </c>
      <c r="AB13" s="48">
        <v>12.536113042577528</v>
      </c>
      <c r="AC13" s="48">
        <v>496.90145283411641</v>
      </c>
      <c r="AD13" s="48">
        <v>648.06625088769681</v>
      </c>
      <c r="AE13" s="48">
        <v>572.48385186090661</v>
      </c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</row>
    <row r="14" spans="1:181">
      <c r="A14" s="46">
        <v>2E-3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</row>
    <row r="15" spans="1:181">
      <c r="A15" s="52" t="s">
        <v>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>
        <v>8971.6805705391016</v>
      </c>
      <c r="AG15" s="48">
        <v>1</v>
      </c>
      <c r="AH15" s="48">
        <v>1</v>
      </c>
      <c r="AI15" s="48">
        <v>1</v>
      </c>
      <c r="AJ15" s="48">
        <v>13515.841671221931</v>
      </c>
      <c r="AK15" s="48">
        <v>1</v>
      </c>
      <c r="AL15" s="48">
        <v>4427.5194698562709</v>
      </c>
      <c r="AM15" s="48">
        <v>431.06950099465632</v>
      </c>
      <c r="AN15" s="48">
        <v>1131.8292884327925</v>
      </c>
      <c r="AO15" s="48">
        <v>781.44939471372436</v>
      </c>
      <c r="AP15" s="48">
        <v>2024.1796092664729</v>
      </c>
      <c r="AQ15" s="48">
        <v>1</v>
      </c>
      <c r="AR15" s="48">
        <v>1</v>
      </c>
      <c r="AS15" s="48">
        <v>1</v>
      </c>
      <c r="AT15" s="48">
        <v>920.24212779472339</v>
      </c>
      <c r="AU15" s="48">
        <v>1</v>
      </c>
      <c r="AV15" s="48">
        <v>3128.1170907382225</v>
      </c>
      <c r="AW15" s="48">
        <v>277.62861356746532</v>
      </c>
      <c r="AX15" s="48">
        <v>1666.0309565046484</v>
      </c>
      <c r="AY15" s="48">
        <v>971.82978503605682</v>
      </c>
      <c r="AZ15" s="48">
        <v>4782.4931896109465</v>
      </c>
      <c r="BA15" s="48">
        <v>1</v>
      </c>
      <c r="BB15" s="48">
        <v>1</v>
      </c>
      <c r="BC15" s="48">
        <v>1</v>
      </c>
      <c r="BD15" s="48">
        <v>4974.5995302117453</v>
      </c>
      <c r="BE15" s="48">
        <v>1</v>
      </c>
      <c r="BF15" s="48">
        <v>4590.3868490101477</v>
      </c>
      <c r="BG15" s="48">
        <v>952.12329559253351</v>
      </c>
      <c r="BH15" s="48">
        <v>1494.6050866775004</v>
      </c>
      <c r="BI15" s="48">
        <v>1223.3641911350169</v>
      </c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</row>
    <row r="16" spans="1:181">
      <c r="A16" s="52" t="s">
        <v>18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>
        <v>8251.0377245627169</v>
      </c>
      <c r="BK16" s="48">
        <v>1</v>
      </c>
      <c r="BL16" s="48">
        <v>1</v>
      </c>
      <c r="BM16" s="48">
        <v>1</v>
      </c>
      <c r="BN16" s="48">
        <v>8449.8597414309679</v>
      </c>
      <c r="BO16" s="48">
        <v>1</v>
      </c>
      <c r="BP16" s="48">
        <v>8052.2157076944668</v>
      </c>
      <c r="BQ16" s="48">
        <v>1042.3450204291928</v>
      </c>
      <c r="BR16" s="48">
        <v>368.40157136896602</v>
      </c>
      <c r="BS16" s="48">
        <v>705.37329589907938</v>
      </c>
      <c r="BT16" s="48">
        <v>2992.7767539977185</v>
      </c>
      <c r="BU16" s="48">
        <v>1</v>
      </c>
      <c r="BV16" s="48">
        <v>1</v>
      </c>
      <c r="BW16" s="48">
        <v>1</v>
      </c>
      <c r="BX16" s="48">
        <v>2949.4158466628837</v>
      </c>
      <c r="BY16" s="48">
        <v>1</v>
      </c>
      <c r="BZ16" s="48">
        <v>3036.1376613325529</v>
      </c>
      <c r="CA16" s="48">
        <v>1129.7385862098461</v>
      </c>
      <c r="CB16" s="48">
        <v>1461.486637572423</v>
      </c>
      <c r="CC16" s="48">
        <v>1295.6126118911345</v>
      </c>
      <c r="CD16" s="48">
        <v>84.695615943556504</v>
      </c>
      <c r="CE16" s="48">
        <v>1</v>
      </c>
      <c r="CF16" s="48">
        <v>1</v>
      </c>
      <c r="CG16" s="48">
        <v>1</v>
      </c>
      <c r="CH16" s="48">
        <v>0</v>
      </c>
      <c r="CI16" s="48">
        <v>1</v>
      </c>
      <c r="CJ16" s="48">
        <v>169.39123188711301</v>
      </c>
      <c r="CK16" s="48">
        <v>202.96784344660301</v>
      </c>
      <c r="CL16" s="48">
        <v>265.54395864509792</v>
      </c>
      <c r="CM16" s="48">
        <v>234.25590104585046</v>
      </c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</row>
    <row r="17" spans="1:181">
      <c r="A17" s="52" t="s">
        <v>20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>
        <v>6402.0692946381241</v>
      </c>
      <c r="CO17" s="48">
        <v>1</v>
      </c>
      <c r="CP17" s="48">
        <v>1</v>
      </c>
      <c r="CQ17" s="48">
        <v>1</v>
      </c>
      <c r="CR17" s="48">
        <v>7914.1286585606958</v>
      </c>
      <c r="CS17" s="48">
        <v>1</v>
      </c>
      <c r="CT17" s="48">
        <v>4890.0099307155515</v>
      </c>
      <c r="CU17" s="48">
        <v>2064.222933768976</v>
      </c>
      <c r="CV17" s="48">
        <v>1637.2224632880611</v>
      </c>
      <c r="CW17" s="48">
        <v>1850.7226985285185</v>
      </c>
      <c r="CX17" s="48">
        <v>6140.8590483546104</v>
      </c>
      <c r="CY17" s="48">
        <v>1</v>
      </c>
      <c r="CZ17" s="48">
        <v>1</v>
      </c>
      <c r="DA17" s="48">
        <v>1</v>
      </c>
      <c r="DB17" s="48">
        <v>5475.3971738651671</v>
      </c>
      <c r="DC17" s="48">
        <v>1</v>
      </c>
      <c r="DD17" s="48">
        <v>6806.3209228440528</v>
      </c>
      <c r="DE17" s="48">
        <v>474.97865895424303</v>
      </c>
      <c r="DF17" s="48">
        <v>390.81299350110754</v>
      </c>
      <c r="DG17" s="48">
        <v>432.89582622767529</v>
      </c>
      <c r="DH17" s="48">
        <v>4981.8467736768662</v>
      </c>
      <c r="DI17" s="48">
        <v>1</v>
      </c>
      <c r="DJ17" s="48">
        <v>1</v>
      </c>
      <c r="DK17" s="48">
        <v>1</v>
      </c>
      <c r="DL17" s="48">
        <v>4682.48639737945</v>
      </c>
      <c r="DM17" s="48">
        <v>1</v>
      </c>
      <c r="DN17" s="48">
        <v>5281.2071499742824</v>
      </c>
      <c r="DO17" s="48">
        <v>1042.9971023654164</v>
      </c>
      <c r="DP17" s="48">
        <v>1440.7143333499203</v>
      </c>
      <c r="DQ17" s="48">
        <v>1241.8557178576684</v>
      </c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</row>
    <row r="18" spans="1:181">
      <c r="A18" s="52" t="s">
        <v>22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>
        <v>7093.5504581282703</v>
      </c>
      <c r="DS18" s="48">
        <v>1</v>
      </c>
      <c r="DT18" s="48">
        <v>1</v>
      </c>
      <c r="DU18" s="48">
        <v>1</v>
      </c>
      <c r="DV18" s="48">
        <v>6956.7850090175471</v>
      </c>
      <c r="DW18" s="48">
        <v>1</v>
      </c>
      <c r="DX18" s="48">
        <v>7230.3159072389935</v>
      </c>
      <c r="DY18" s="48">
        <v>1585.8209923142176</v>
      </c>
      <c r="DZ18" s="48">
        <v>3089.6717148917733</v>
      </c>
      <c r="EA18" s="48">
        <v>2337.7463536029954</v>
      </c>
      <c r="EB18" s="48">
        <v>2731.7362360464808</v>
      </c>
      <c r="EC18" s="48">
        <v>1</v>
      </c>
      <c r="ED18" s="48">
        <v>1</v>
      </c>
      <c r="EE18" s="48">
        <v>1</v>
      </c>
      <c r="EF18" s="48">
        <v>3056.8059680930969</v>
      </c>
      <c r="EG18" s="48">
        <v>1</v>
      </c>
      <c r="EH18" s="48">
        <v>2406.6665039998647</v>
      </c>
      <c r="EI18" s="48">
        <v>751.33007185076713</v>
      </c>
      <c r="EJ18" s="48">
        <v>595.352778430277</v>
      </c>
      <c r="EK18" s="48">
        <v>673.34142514052201</v>
      </c>
      <c r="EL18" s="48">
        <v>401.29881494224355</v>
      </c>
      <c r="EM18" s="48">
        <v>1</v>
      </c>
      <c r="EN18" s="48">
        <v>1</v>
      </c>
      <c r="EO18" s="48">
        <v>1</v>
      </c>
      <c r="EP18" s="48">
        <v>377.54064574616746</v>
      </c>
      <c r="EQ18" s="48">
        <v>1</v>
      </c>
      <c r="ER18" s="48">
        <v>425.05698413831959</v>
      </c>
      <c r="ES18" s="48">
        <v>347.84478479221212</v>
      </c>
      <c r="ET18" s="48">
        <v>119.50122455663465</v>
      </c>
      <c r="EU18" s="48">
        <v>233.6730046744234</v>
      </c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</row>
    <row r="19" spans="1:181">
      <c r="A19" s="52" t="s">
        <v>24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>
        <v>776.82777376688477</v>
      </c>
      <c r="EW19" s="48">
        <v>1</v>
      </c>
      <c r="EX19" s="48">
        <v>1</v>
      </c>
      <c r="EY19" s="48">
        <v>1</v>
      </c>
      <c r="EZ19" s="48">
        <v>412.40556405247287</v>
      </c>
      <c r="FA19" s="48">
        <v>1</v>
      </c>
      <c r="FB19" s="48">
        <v>1141.2499834812968</v>
      </c>
      <c r="FC19" s="48">
        <v>736.01162226634835</v>
      </c>
      <c r="FD19" s="48">
        <v>2443.8541536336024</v>
      </c>
      <c r="FE19" s="48">
        <v>1589.9328879499753</v>
      </c>
      <c r="FF19" s="48">
        <v>1849.7210019535701</v>
      </c>
      <c r="FG19" s="48">
        <v>1</v>
      </c>
      <c r="FH19" s="48">
        <v>1</v>
      </c>
      <c r="FI19" s="48">
        <v>1</v>
      </c>
      <c r="FJ19" s="48">
        <v>1253.2376499618092</v>
      </c>
      <c r="FK19" s="48">
        <v>1</v>
      </c>
      <c r="FL19" s="48">
        <v>2446.2043539453311</v>
      </c>
      <c r="FM19" s="48">
        <v>1553.5496387310534</v>
      </c>
      <c r="FN19" s="48">
        <v>2721.1915982864316</v>
      </c>
      <c r="FO19" s="48">
        <v>2137.3706185087426</v>
      </c>
      <c r="FP19" s="48">
        <v>572.00821386556413</v>
      </c>
      <c r="FQ19" s="48">
        <v>1</v>
      </c>
      <c r="FR19" s="48">
        <v>1</v>
      </c>
      <c r="FS19" s="48">
        <v>1</v>
      </c>
      <c r="FT19" s="48">
        <v>133.34331330360914</v>
      </c>
      <c r="FU19" s="48">
        <v>1</v>
      </c>
      <c r="FV19" s="48">
        <v>1010.6731144275192</v>
      </c>
      <c r="FW19" s="48">
        <v>1157.9925725860996</v>
      </c>
      <c r="FX19" s="48">
        <v>397.93642157443969</v>
      </c>
      <c r="FY19" s="48">
        <v>777.96449708026967</v>
      </c>
    </row>
    <row r="20" spans="1:181">
      <c r="A20" s="52" t="s">
        <v>26</v>
      </c>
      <c r="B20" s="48">
        <v>124.84055469484545</v>
      </c>
      <c r="C20" s="48">
        <v>1</v>
      </c>
      <c r="D20" s="48">
        <v>1</v>
      </c>
      <c r="E20" s="48">
        <v>1</v>
      </c>
      <c r="F20" s="48">
        <v>123.17571348964407</v>
      </c>
      <c r="G20" s="48">
        <v>1</v>
      </c>
      <c r="H20" s="48">
        <v>126.50539590004685</v>
      </c>
      <c r="I20" s="48">
        <v>90.470392440429904</v>
      </c>
      <c r="J20" s="48">
        <v>18.640181197806594</v>
      </c>
      <c r="K20" s="48">
        <v>54.555286819118251</v>
      </c>
      <c r="L20" s="48">
        <v>28.035386335920819</v>
      </c>
      <c r="M20" s="48">
        <v>1</v>
      </c>
      <c r="N20" s="48">
        <v>1</v>
      </c>
      <c r="O20" s="48">
        <v>1</v>
      </c>
      <c r="P20" s="48">
        <v>25.32694119074165</v>
      </c>
      <c r="Q20" s="48">
        <v>1</v>
      </c>
      <c r="R20" s="48">
        <v>30.743831481099992</v>
      </c>
      <c r="S20" s="48">
        <v>1145.7071477712352</v>
      </c>
      <c r="T20" s="48">
        <v>63.286974462950987</v>
      </c>
      <c r="U20" s="48">
        <v>604.49706111709315</v>
      </c>
      <c r="V20" s="48">
        <v>12.667514519063763</v>
      </c>
      <c r="W20" s="48">
        <v>1</v>
      </c>
      <c r="X20" s="48">
        <v>1</v>
      </c>
      <c r="Y20" s="48">
        <v>1</v>
      </c>
      <c r="Z20" s="48">
        <v>17.503310850677124</v>
      </c>
      <c r="AA20" s="48">
        <v>1</v>
      </c>
      <c r="AB20" s="48">
        <v>7.8317181874504032</v>
      </c>
      <c r="AC20" s="48">
        <v>35.929367577313542</v>
      </c>
      <c r="AD20" s="48">
        <v>102.92468375075639</v>
      </c>
      <c r="AE20" s="48">
        <v>69.427025664034971</v>
      </c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</row>
    <row r="21" spans="1:181">
      <c r="A21" s="46">
        <v>0.02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</row>
    <row r="22" spans="1:181">
      <c r="A22" s="52" t="s">
        <v>7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>
        <v>11630.847370208934</v>
      </c>
      <c r="AG22" s="48">
        <v>1</v>
      </c>
      <c r="AH22" s="48">
        <v>1</v>
      </c>
      <c r="AI22" s="48">
        <v>1</v>
      </c>
      <c r="AJ22" s="48">
        <v>11949.101098892379</v>
      </c>
      <c r="AK22" s="48">
        <v>1</v>
      </c>
      <c r="AL22" s="48">
        <v>11312.593641525489</v>
      </c>
      <c r="AM22" s="48">
        <v>1553.0594266681981</v>
      </c>
      <c r="AN22" s="48">
        <v>1755.5933895992071</v>
      </c>
      <c r="AO22" s="48">
        <v>1654.3264081337024</v>
      </c>
      <c r="AP22" s="48">
        <v>2121.5488930124857</v>
      </c>
      <c r="AQ22" s="48">
        <v>1</v>
      </c>
      <c r="AR22" s="48">
        <v>1</v>
      </c>
      <c r="AS22" s="48">
        <v>1</v>
      </c>
      <c r="AT22" s="48">
        <v>1643.256668816932</v>
      </c>
      <c r="AU22" s="48">
        <v>1</v>
      </c>
      <c r="AV22" s="48">
        <v>2599.8411172080391</v>
      </c>
      <c r="AW22" s="48">
        <v>584.14728920044888</v>
      </c>
      <c r="AX22" s="48">
        <v>764.36584491840404</v>
      </c>
      <c r="AY22" s="48">
        <v>674.25656705942652</v>
      </c>
      <c r="AZ22" s="48">
        <v>10886.09397327735</v>
      </c>
      <c r="BA22" s="48">
        <v>1</v>
      </c>
      <c r="BB22" s="48">
        <v>1</v>
      </c>
      <c r="BC22" s="48">
        <v>1</v>
      </c>
      <c r="BD22" s="48">
        <v>8408.9676612036237</v>
      </c>
      <c r="BE22" s="48">
        <v>1</v>
      </c>
      <c r="BF22" s="48">
        <v>13363.220285351075</v>
      </c>
      <c r="BG22" s="48">
        <v>1471.2192098701867</v>
      </c>
      <c r="BH22" s="48">
        <v>807.41777587120009</v>
      </c>
      <c r="BI22" s="48">
        <v>1139.3184928706933</v>
      </c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</row>
    <row r="23" spans="1:181">
      <c r="A23" s="52" t="s">
        <v>18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>
        <v>19681.725170534522</v>
      </c>
      <c r="BK23" s="48">
        <v>1</v>
      </c>
      <c r="BL23" s="48">
        <v>1</v>
      </c>
      <c r="BM23" s="48">
        <v>1</v>
      </c>
      <c r="BN23" s="48">
        <v>20306.085012453928</v>
      </c>
      <c r="BO23" s="48">
        <v>1</v>
      </c>
      <c r="BP23" s="48">
        <v>19057.365328615117</v>
      </c>
      <c r="BQ23" s="48">
        <v>1757.4827287874068</v>
      </c>
      <c r="BR23" s="48">
        <v>1358.3600906235934</v>
      </c>
      <c r="BS23" s="48">
        <v>1557.9214097055001</v>
      </c>
      <c r="BT23" s="48">
        <v>7785.6433235509239</v>
      </c>
      <c r="BU23" s="48">
        <v>1</v>
      </c>
      <c r="BV23" s="48">
        <v>1</v>
      </c>
      <c r="BW23" s="48">
        <v>1</v>
      </c>
      <c r="BX23" s="48">
        <v>7035.4836233574952</v>
      </c>
      <c r="BY23" s="48">
        <v>1</v>
      </c>
      <c r="BZ23" s="48">
        <v>8535.8030237443527</v>
      </c>
      <c r="CA23" s="48">
        <v>648.13215539078749</v>
      </c>
      <c r="CB23" s="48">
        <v>1461.486637572423</v>
      </c>
      <c r="CC23" s="48">
        <v>1054.8093964816053</v>
      </c>
      <c r="CD23" s="48">
        <v>146.00698842308867</v>
      </c>
      <c r="CE23" s="48">
        <v>1</v>
      </c>
      <c r="CF23" s="48">
        <v>1</v>
      </c>
      <c r="CG23" s="48">
        <v>1</v>
      </c>
      <c r="CH23" s="48">
        <v>59.842249173416832</v>
      </c>
      <c r="CI23" s="48">
        <v>1</v>
      </c>
      <c r="CJ23" s="48">
        <v>232.17172767276051</v>
      </c>
      <c r="CK23" s="48">
        <v>813.84080267880404</v>
      </c>
      <c r="CL23" s="48">
        <v>547.39857952326292</v>
      </c>
      <c r="CM23" s="48">
        <v>680.61969110103348</v>
      </c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</row>
    <row r="24" spans="1:181">
      <c r="A24" s="52" t="s">
        <v>20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>
        <v>18169.651827194961</v>
      </c>
      <c r="CO24" s="48">
        <v>1</v>
      </c>
      <c r="CP24" s="48">
        <v>1</v>
      </c>
      <c r="CQ24" s="48">
        <v>1</v>
      </c>
      <c r="CR24" s="48">
        <v>16307.466671457471</v>
      </c>
      <c r="CS24" s="48">
        <v>1</v>
      </c>
      <c r="CT24" s="48">
        <v>20031.836982932455</v>
      </c>
      <c r="CU24" s="48">
        <v>2040.3287443463487</v>
      </c>
      <c r="CV24" s="48">
        <v>1717.2629456525819</v>
      </c>
      <c r="CW24" s="48">
        <v>1878.7958449994653</v>
      </c>
      <c r="CX24" s="48">
        <v>13991.434654526183</v>
      </c>
      <c r="CY24" s="48">
        <v>1</v>
      </c>
      <c r="CZ24" s="48">
        <v>1</v>
      </c>
      <c r="DA24" s="48">
        <v>1</v>
      </c>
      <c r="DB24" s="48">
        <v>10602.84957737132</v>
      </c>
      <c r="DC24" s="48">
        <v>1</v>
      </c>
      <c r="DD24" s="48">
        <v>17380.019731681048</v>
      </c>
      <c r="DE24" s="48">
        <v>1238.3040060657163</v>
      </c>
      <c r="DF24" s="48">
        <v>1098.7284235246825</v>
      </c>
      <c r="DG24" s="48">
        <v>1168.5162147951994</v>
      </c>
      <c r="DH24" s="48">
        <v>11682.950121759399</v>
      </c>
      <c r="DI24" s="48">
        <v>1</v>
      </c>
      <c r="DJ24" s="48">
        <v>1</v>
      </c>
      <c r="DK24" s="48">
        <v>1</v>
      </c>
      <c r="DL24" s="48">
        <v>14987.459472838695</v>
      </c>
      <c r="DM24" s="48">
        <v>1</v>
      </c>
      <c r="DN24" s="48">
        <v>8378.440770680103</v>
      </c>
      <c r="DO24" s="48">
        <v>1671.8249747497025</v>
      </c>
      <c r="DP24" s="48">
        <v>1498.9649601950493</v>
      </c>
      <c r="DQ24" s="48">
        <v>1585.3949674723758</v>
      </c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</row>
    <row r="25" spans="1:181">
      <c r="A25" s="52" t="s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>
        <v>16190.816883286912</v>
      </c>
      <c r="DS25" s="48">
        <v>1</v>
      </c>
      <c r="DT25" s="48">
        <v>1</v>
      </c>
      <c r="DU25" s="48">
        <v>1</v>
      </c>
      <c r="DV25" s="48">
        <v>17562.203283609408</v>
      </c>
      <c r="DW25" s="48">
        <v>1</v>
      </c>
      <c r="DX25" s="48">
        <v>14819.430482964419</v>
      </c>
      <c r="DY25" s="48">
        <v>4565.5704256603058</v>
      </c>
      <c r="DZ25" s="48">
        <v>5576.3436227474376</v>
      </c>
      <c r="EA25" s="48">
        <v>5070.9570242038717</v>
      </c>
      <c r="EB25" s="48">
        <v>4778.5833105495185</v>
      </c>
      <c r="EC25" s="48">
        <v>1</v>
      </c>
      <c r="ED25" s="48">
        <v>1</v>
      </c>
      <c r="EE25" s="48">
        <v>1</v>
      </c>
      <c r="EF25" s="48">
        <v>3571.7647241248778</v>
      </c>
      <c r="EG25" s="48">
        <v>1</v>
      </c>
      <c r="EH25" s="48">
        <v>5985.4018969741601</v>
      </c>
      <c r="EI25" s="48">
        <v>2420.4908432041657</v>
      </c>
      <c r="EJ25" s="48">
        <v>2391.4662430336698</v>
      </c>
      <c r="EK25" s="48">
        <v>2405.9785431189175</v>
      </c>
      <c r="EL25" s="48">
        <v>4349.1737344839476</v>
      </c>
      <c r="EM25" s="48">
        <v>1</v>
      </c>
      <c r="EN25" s="48">
        <v>1</v>
      </c>
      <c r="EO25" s="48">
        <v>1</v>
      </c>
      <c r="EP25" s="48">
        <v>2747.0655518122808</v>
      </c>
      <c r="EQ25" s="48">
        <v>1</v>
      </c>
      <c r="ER25" s="48">
        <v>5951.2819171556148</v>
      </c>
      <c r="ES25" s="48">
        <v>757.4199232927001</v>
      </c>
      <c r="ET25" s="48">
        <v>708.72662592217512</v>
      </c>
      <c r="EU25" s="48">
        <v>733.07327460743761</v>
      </c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</row>
    <row r="26" spans="1:181">
      <c r="A26" s="52" t="s">
        <v>24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>
        <v>2862.7510692117621</v>
      </c>
      <c r="EW26" s="48">
        <v>1</v>
      </c>
      <c r="EX26" s="48">
        <v>1</v>
      </c>
      <c r="EY26" s="48">
        <v>1</v>
      </c>
      <c r="EZ26" s="48">
        <v>811.79817556058526</v>
      </c>
      <c r="FA26" s="48">
        <v>1</v>
      </c>
      <c r="FB26" s="48">
        <v>4913.7039628629391</v>
      </c>
      <c r="FC26" s="48">
        <v>3860.3406972000867</v>
      </c>
      <c r="FD26" s="48">
        <v>4579.4822600529551</v>
      </c>
      <c r="FE26" s="48">
        <v>4219.9114786265209</v>
      </c>
      <c r="FF26" s="48">
        <v>6936.6161190332623</v>
      </c>
      <c r="FG26" s="48">
        <v>1</v>
      </c>
      <c r="FH26" s="48">
        <v>1</v>
      </c>
      <c r="FI26" s="48">
        <v>1</v>
      </c>
      <c r="FJ26" s="48">
        <v>6863.4223770130311</v>
      </c>
      <c r="FK26" s="48">
        <v>1</v>
      </c>
      <c r="FL26" s="48">
        <v>7009.8098610534944</v>
      </c>
      <c r="FM26" s="48">
        <v>5174.0128699750858</v>
      </c>
      <c r="FN26" s="48">
        <v>2587.1167829420342</v>
      </c>
      <c r="FO26" s="48">
        <v>3880.5648264585598</v>
      </c>
      <c r="FP26" s="48">
        <v>548.3558679456321</v>
      </c>
      <c r="FQ26" s="48">
        <v>1</v>
      </c>
      <c r="FR26" s="48">
        <v>1</v>
      </c>
      <c r="FS26" s="48">
        <v>1</v>
      </c>
      <c r="FT26" s="48">
        <v>784.50311691881564</v>
      </c>
      <c r="FU26" s="48">
        <v>1</v>
      </c>
      <c r="FV26" s="48">
        <v>312.20861897244851</v>
      </c>
      <c r="FW26" s="48">
        <v>1084.5052583964216</v>
      </c>
      <c r="FX26" s="48">
        <v>1618.0214594859867</v>
      </c>
      <c r="FY26" s="48">
        <v>1351.2633589412042</v>
      </c>
    </row>
    <row r="27" spans="1:181">
      <c r="A27" s="52" t="s">
        <v>26</v>
      </c>
      <c r="B27" s="48">
        <v>61.544506582766118</v>
      </c>
      <c r="C27" s="48">
        <v>1</v>
      </c>
      <c r="D27" s="48">
        <v>1</v>
      </c>
      <c r="E27" s="48">
        <v>1</v>
      </c>
      <c r="F27" s="48">
        <v>81.119792227914914</v>
      </c>
      <c r="G27" s="48">
        <v>1</v>
      </c>
      <c r="H27" s="48">
        <v>41.969220937617315</v>
      </c>
      <c r="I27" s="48">
        <v>186.27689285584455</v>
      </c>
      <c r="J27" s="48">
        <v>543.75710983470242</v>
      </c>
      <c r="K27" s="48">
        <v>365.01700134527346</v>
      </c>
      <c r="L27" s="48">
        <v>37.736721260821277</v>
      </c>
      <c r="M27" s="48">
        <v>1</v>
      </c>
      <c r="N27" s="48">
        <v>1</v>
      </c>
      <c r="O27" s="48">
        <v>1</v>
      </c>
      <c r="P27" s="48">
        <v>41.969220937617315</v>
      </c>
      <c r="Q27" s="48">
        <v>1</v>
      </c>
      <c r="R27" s="48">
        <v>33.504221584025238</v>
      </c>
      <c r="S27" s="48">
        <v>1603.5479974729785</v>
      </c>
      <c r="T27" s="48">
        <v>52.522326346512237</v>
      </c>
      <c r="U27" s="48">
        <v>828.0351619097454</v>
      </c>
      <c r="V27" s="48">
        <v>24.001245537231188</v>
      </c>
      <c r="W27" s="48">
        <v>1</v>
      </c>
      <c r="X27" s="48">
        <v>1</v>
      </c>
      <c r="Y27" s="48">
        <v>1</v>
      </c>
      <c r="Z27" s="48">
        <v>22.675549883720727</v>
      </c>
      <c r="AA27" s="48">
        <v>1</v>
      </c>
      <c r="AB27" s="48">
        <v>25.32694119074165</v>
      </c>
      <c r="AC27" s="48">
        <v>1281.8991240028079</v>
      </c>
      <c r="AD27" s="48">
        <v>406.90890126757472</v>
      </c>
      <c r="AE27" s="48">
        <v>844.40401263519129</v>
      </c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</row>
    <row r="28" spans="1:181">
      <c r="A28" s="46">
        <v>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</row>
    <row r="29" spans="1:181">
      <c r="A29" s="52" t="s">
        <v>7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>
        <v>13661.747572019081</v>
      </c>
      <c r="AG29" s="48">
        <v>1</v>
      </c>
      <c r="AH29" s="48">
        <v>1</v>
      </c>
      <c r="AI29" s="48">
        <v>1</v>
      </c>
      <c r="AJ29" s="48">
        <v>12230.731943478451</v>
      </c>
      <c r="AK29" s="48">
        <v>1</v>
      </c>
      <c r="AL29" s="48">
        <v>15092.763200559712</v>
      </c>
      <c r="AM29" s="48">
        <v>5855.464368004029</v>
      </c>
      <c r="AN29" s="48">
        <v>1930.7394518179265</v>
      </c>
      <c r="AO29" s="48">
        <v>3893.1019099109776</v>
      </c>
      <c r="AP29" s="48">
        <v>2806.5496895788588</v>
      </c>
      <c r="AQ29" s="48">
        <v>1</v>
      </c>
      <c r="AR29" s="48">
        <v>1</v>
      </c>
      <c r="AS29" s="48">
        <v>1</v>
      </c>
      <c r="AT29" s="48">
        <v>1942.0536066572299</v>
      </c>
      <c r="AU29" s="48">
        <v>1</v>
      </c>
      <c r="AV29" s="48">
        <v>3671.0457725004876</v>
      </c>
      <c r="AW29" s="48">
        <v>916.93874928061746</v>
      </c>
      <c r="AX29" s="48">
        <v>1798.4169753522754</v>
      </c>
      <c r="AY29" s="48">
        <v>1357.6778623164464</v>
      </c>
      <c r="AZ29" s="48">
        <v>18836.702589728269</v>
      </c>
      <c r="BA29" s="48">
        <v>1</v>
      </c>
      <c r="BB29" s="48">
        <v>1</v>
      </c>
      <c r="BC29" s="48">
        <v>1</v>
      </c>
      <c r="BD29" s="48">
        <v>18142.225240480857</v>
      </c>
      <c r="BE29" s="48">
        <v>1</v>
      </c>
      <c r="BF29" s="48">
        <v>19531.179938975682</v>
      </c>
      <c r="BG29" s="48">
        <v>1938.5212455857527</v>
      </c>
      <c r="BH29" s="48">
        <v>2408.9682878667845</v>
      </c>
      <c r="BI29" s="48">
        <v>2173.7447667262686</v>
      </c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</row>
    <row r="30" spans="1:181">
      <c r="A30" s="52" t="s">
        <v>18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>
        <v>21590.209474583906</v>
      </c>
      <c r="BK30" s="48">
        <v>1</v>
      </c>
      <c r="BL30" s="48">
        <v>1</v>
      </c>
      <c r="BM30" s="48">
        <v>1</v>
      </c>
      <c r="BN30" s="48">
        <v>22471.952297821375</v>
      </c>
      <c r="BO30" s="48">
        <v>1</v>
      </c>
      <c r="BP30" s="48">
        <v>20708.466651346433</v>
      </c>
      <c r="BQ30" s="48">
        <v>3537.1899412075277</v>
      </c>
      <c r="BR30" s="48">
        <v>1813.5528815966466</v>
      </c>
      <c r="BS30" s="48">
        <v>2675.3714114020872</v>
      </c>
      <c r="BT30" s="48">
        <v>14543.163781086416</v>
      </c>
      <c r="BU30" s="48">
        <v>1</v>
      </c>
      <c r="BV30" s="48">
        <v>1</v>
      </c>
      <c r="BW30" s="48">
        <v>1</v>
      </c>
      <c r="BX30" s="48">
        <v>13060.857217770365</v>
      </c>
      <c r="BY30" s="48">
        <v>1</v>
      </c>
      <c r="BZ30" s="48">
        <v>16025.470344402467</v>
      </c>
      <c r="CA30" s="48">
        <v>2239.7788908851094</v>
      </c>
      <c r="CB30" s="48">
        <v>3620.2744962254887</v>
      </c>
      <c r="CC30" s="48">
        <v>2930.0266935552991</v>
      </c>
      <c r="CD30" s="48">
        <v>831.23630419953724</v>
      </c>
      <c r="CE30" s="48">
        <v>1</v>
      </c>
      <c r="CF30" s="48">
        <v>1</v>
      </c>
      <c r="CG30" s="48">
        <v>1</v>
      </c>
      <c r="CH30" s="48">
        <v>188.75333041943421</v>
      </c>
      <c r="CI30" s="48">
        <v>1</v>
      </c>
      <c r="CJ30" s="48">
        <v>1473.7192779796403</v>
      </c>
      <c r="CK30" s="48">
        <v>1950.3765691437811</v>
      </c>
      <c r="CL30" s="48">
        <v>3977.3504915103817</v>
      </c>
      <c r="CM30" s="48">
        <v>2963.8635303270812</v>
      </c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</row>
    <row r="31" spans="1:181">
      <c r="A31" s="52" t="s">
        <v>20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>
        <v>18822.192289400751</v>
      </c>
      <c r="CO31" s="48">
        <v>1</v>
      </c>
      <c r="CP31" s="48">
        <v>1</v>
      </c>
      <c r="CQ31" s="48">
        <v>1</v>
      </c>
      <c r="CR31" s="48">
        <v>18716.031199249766</v>
      </c>
      <c r="CS31" s="48">
        <v>1</v>
      </c>
      <c r="CT31" s="48">
        <v>18928.35337955174</v>
      </c>
      <c r="CU31" s="48">
        <v>4259.1169707691906</v>
      </c>
      <c r="CV31" s="48">
        <v>5147.2369988173623</v>
      </c>
      <c r="CW31" s="48">
        <v>4703.1769847932765</v>
      </c>
      <c r="CX31" s="48">
        <v>16804.732047674737</v>
      </c>
      <c r="CY31" s="48">
        <v>1</v>
      </c>
      <c r="CZ31" s="48">
        <v>1</v>
      </c>
      <c r="DA31" s="48">
        <v>1</v>
      </c>
      <c r="DB31" s="48">
        <v>15590.845075212559</v>
      </c>
      <c r="DC31" s="48">
        <v>1</v>
      </c>
      <c r="DD31" s="48">
        <v>18018.619020136917</v>
      </c>
      <c r="DE31" s="48">
        <v>1751.8988853046671</v>
      </c>
      <c r="DF31" s="48">
        <v>1862.3931168988715</v>
      </c>
      <c r="DG31" s="48">
        <v>1807.1460011017693</v>
      </c>
      <c r="DH31" s="48">
        <v>16040.024910777309</v>
      </c>
      <c r="DI31" s="48">
        <v>1</v>
      </c>
      <c r="DJ31" s="48">
        <v>1</v>
      </c>
      <c r="DK31" s="48">
        <v>1</v>
      </c>
      <c r="DL31" s="48">
        <v>17274.880403512638</v>
      </c>
      <c r="DM31" s="48">
        <v>1</v>
      </c>
      <c r="DN31" s="48">
        <v>14805.169418041982</v>
      </c>
      <c r="DO31" s="48">
        <v>5107.3989702152157</v>
      </c>
      <c r="DP31" s="48">
        <v>3708.6656313533658</v>
      </c>
      <c r="DQ31" s="48">
        <v>4408.0323007842908</v>
      </c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</row>
    <row r="32" spans="1:181">
      <c r="A32" s="52" t="s">
        <v>22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>
        <v>16002.862204748701</v>
      </c>
      <c r="DS32" s="48">
        <v>1</v>
      </c>
      <c r="DT32" s="48">
        <v>1</v>
      </c>
      <c r="DU32" s="48">
        <v>1</v>
      </c>
      <c r="DV32" s="48">
        <v>17654.241909152806</v>
      </c>
      <c r="DW32" s="48">
        <v>1</v>
      </c>
      <c r="DX32" s="48">
        <v>14351.482500344597</v>
      </c>
      <c r="DY32" s="48">
        <v>7078.5512256956627</v>
      </c>
      <c r="DZ32" s="48">
        <v>7192.7367881792343</v>
      </c>
      <c r="EA32" s="48">
        <v>7135.6440069374485</v>
      </c>
      <c r="EB32" s="48">
        <v>9212.2677423655659</v>
      </c>
      <c r="EC32" s="48">
        <v>1</v>
      </c>
      <c r="ED32" s="48">
        <v>1</v>
      </c>
      <c r="EE32" s="48">
        <v>1</v>
      </c>
      <c r="EF32" s="48">
        <v>5470.7840350623983</v>
      </c>
      <c r="EG32" s="48">
        <v>1</v>
      </c>
      <c r="EH32" s="48">
        <v>12953.751449668733</v>
      </c>
      <c r="EI32" s="48">
        <v>3404.4305063847482</v>
      </c>
      <c r="EJ32" s="48">
        <v>4148.5334385910755</v>
      </c>
      <c r="EK32" s="48">
        <v>3776.4819724879117</v>
      </c>
      <c r="EL32" s="48">
        <v>4968.9853883298183</v>
      </c>
      <c r="EM32" s="48">
        <v>1</v>
      </c>
      <c r="EN32" s="48">
        <v>1</v>
      </c>
      <c r="EO32" s="48">
        <v>1</v>
      </c>
      <c r="EP32" s="48">
        <v>5656.6850149099992</v>
      </c>
      <c r="EQ32" s="48">
        <v>1</v>
      </c>
      <c r="ER32" s="48">
        <v>4281.2857617496384</v>
      </c>
      <c r="ES32" s="48">
        <v>1853.6907560074033</v>
      </c>
      <c r="ET32" s="48">
        <v>1878.4543708307506</v>
      </c>
      <c r="EU32" s="48">
        <v>1866.0725634190769</v>
      </c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</row>
    <row r="33" spans="1:181">
      <c r="A33" s="52" t="s">
        <v>24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>
        <v>7921.8649638246361</v>
      </c>
      <c r="EW33" s="48">
        <v>1</v>
      </c>
      <c r="EX33" s="48">
        <v>1</v>
      </c>
      <c r="EY33" s="48">
        <v>1</v>
      </c>
      <c r="EZ33" s="48">
        <v>6642.0398590981076</v>
      </c>
      <c r="FA33" s="48">
        <v>1</v>
      </c>
      <c r="FB33" s="48">
        <v>9201.6900685511646</v>
      </c>
      <c r="FC33" s="48">
        <v>8041.6718167370855</v>
      </c>
      <c r="FD33" s="48">
        <v>8643.3096447125445</v>
      </c>
      <c r="FE33" s="48">
        <v>8342.4907307248141</v>
      </c>
      <c r="FF33" s="48">
        <v>6617.0469476901299</v>
      </c>
      <c r="FG33" s="48">
        <v>1</v>
      </c>
      <c r="FH33" s="48">
        <v>1</v>
      </c>
      <c r="FI33" s="48">
        <v>1</v>
      </c>
      <c r="FJ33" s="48">
        <v>7026.1041214420911</v>
      </c>
      <c r="FK33" s="48">
        <v>1</v>
      </c>
      <c r="FL33" s="48">
        <v>6207.9897739381686</v>
      </c>
      <c r="FM33" s="48">
        <v>9375.965325951287</v>
      </c>
      <c r="FN33" s="48">
        <v>7445.0375030998866</v>
      </c>
      <c r="FO33" s="48">
        <v>8410.5014145255864</v>
      </c>
      <c r="FP33" s="48">
        <v>2308.0566259058432</v>
      </c>
      <c r="FQ33" s="48">
        <v>1</v>
      </c>
      <c r="FR33" s="48">
        <v>1</v>
      </c>
      <c r="FS33" s="48">
        <v>1</v>
      </c>
      <c r="FT33" s="48">
        <v>2298.887677147568</v>
      </c>
      <c r="FU33" s="48">
        <v>1</v>
      </c>
      <c r="FV33" s="48">
        <v>2317.2255746641181</v>
      </c>
      <c r="FW33" s="48">
        <v>3299.6497895965504</v>
      </c>
      <c r="FX33" s="48">
        <v>3749.0767396241486</v>
      </c>
      <c r="FY33" s="48">
        <v>3524.3632646103497</v>
      </c>
    </row>
    <row r="34" spans="1:181">
      <c r="A34" s="52" t="s">
        <v>26</v>
      </c>
      <c r="B34" s="48">
        <v>37.736721260821277</v>
      </c>
      <c r="C34" s="48">
        <v>1</v>
      </c>
      <c r="D34" s="48">
        <v>1</v>
      </c>
      <c r="E34" s="48">
        <v>1</v>
      </c>
      <c r="F34" s="48">
        <v>41.969220937617315</v>
      </c>
      <c r="G34" s="48">
        <v>1</v>
      </c>
      <c r="H34" s="48">
        <v>33.504221584025238</v>
      </c>
      <c r="I34" s="48">
        <v>86.421833540478673</v>
      </c>
      <c r="J34" s="48">
        <v>29.818046846656987</v>
      </c>
      <c r="K34" s="48">
        <v>58.119940193567828</v>
      </c>
      <c r="L34" s="48">
        <v>94.414661171533453</v>
      </c>
      <c r="M34" s="48">
        <v>1</v>
      </c>
      <c r="N34" s="48">
        <v>1</v>
      </c>
      <c r="O34" s="48">
        <v>1</v>
      </c>
      <c r="P34" s="48">
        <v>123.17571348964407</v>
      </c>
      <c r="Q34" s="48">
        <v>1</v>
      </c>
      <c r="R34" s="48">
        <v>65.653608853422838</v>
      </c>
      <c r="S34" s="48">
        <v>691.21158898577676</v>
      </c>
      <c r="T34" s="48">
        <v>510.16620187443863</v>
      </c>
      <c r="U34" s="48">
        <v>600.68889543010766</v>
      </c>
      <c r="V34" s="48">
        <v>48.363737334923414</v>
      </c>
      <c r="W34" s="48">
        <v>1</v>
      </c>
      <c r="X34" s="48">
        <v>1</v>
      </c>
      <c r="Y34" s="48">
        <v>1</v>
      </c>
      <c r="Z34" s="48">
        <v>28.017285376160189</v>
      </c>
      <c r="AA34" s="48">
        <v>1</v>
      </c>
      <c r="AB34" s="48">
        <v>68.710189293686639</v>
      </c>
      <c r="AC34" s="48">
        <v>49.06352136961484</v>
      </c>
      <c r="AD34" s="48">
        <v>357.84836417437003</v>
      </c>
      <c r="AE34" s="48">
        <v>203.45594277199243</v>
      </c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</row>
    <row r="35" spans="1:181">
      <c r="A35" s="46">
        <v>20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</row>
    <row r="36" spans="1:181">
      <c r="A36" s="52" t="s">
        <v>7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>
        <v>19478.23305416025</v>
      </c>
      <c r="AG36" s="48">
        <v>1</v>
      </c>
      <c r="AH36" s="48">
        <v>1</v>
      </c>
      <c r="AI36" s="48">
        <v>1</v>
      </c>
      <c r="AJ36" s="48">
        <v>18856.98596876716</v>
      </c>
      <c r="AK36" s="48">
        <v>1</v>
      </c>
      <c r="AL36" s="48">
        <v>20099.480139553343</v>
      </c>
      <c r="AM36" s="48">
        <v>5998.3809086807696</v>
      </c>
      <c r="AN36" s="48">
        <v>7426.4048529727879</v>
      </c>
      <c r="AO36" s="48">
        <v>6712.3928808267792</v>
      </c>
      <c r="AP36" s="48">
        <v>5767.6736015090592</v>
      </c>
      <c r="AQ36" s="48">
        <v>1</v>
      </c>
      <c r="AR36" s="48">
        <v>1</v>
      </c>
      <c r="AS36" s="48">
        <v>1</v>
      </c>
      <c r="AT36" s="48">
        <v>6434.1591392043119</v>
      </c>
      <c r="AU36" s="48">
        <v>1</v>
      </c>
      <c r="AV36" s="48">
        <v>5101.1880638138073</v>
      </c>
      <c r="AW36" s="48">
        <v>729.1298138511745</v>
      </c>
      <c r="AX36" s="48">
        <v>780.02287573289789</v>
      </c>
      <c r="AY36" s="48">
        <v>754.57634479203625</v>
      </c>
      <c r="AZ36" s="48">
        <v>21342.28882010157</v>
      </c>
      <c r="BA36" s="48">
        <v>1</v>
      </c>
      <c r="BB36" s="48">
        <v>1</v>
      </c>
      <c r="BC36" s="48">
        <v>1</v>
      </c>
      <c r="BD36" s="48">
        <v>19998.65792776956</v>
      </c>
      <c r="BE36" s="48">
        <v>1</v>
      </c>
      <c r="BF36" s="48">
        <v>22685.919712433581</v>
      </c>
      <c r="BG36" s="48">
        <v>4022.3416753175966</v>
      </c>
      <c r="BH36" s="48">
        <v>4177.2176708959323</v>
      </c>
      <c r="BI36" s="48">
        <v>4099.7796731067647</v>
      </c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</row>
    <row r="37" spans="1:181">
      <c r="A37" s="52" t="s">
        <v>18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>
        <v>22000.246542941881</v>
      </c>
      <c r="BK37" s="48">
        <v>1</v>
      </c>
      <c r="BL37" s="48">
        <v>1</v>
      </c>
      <c r="BM37" s="48">
        <v>1</v>
      </c>
      <c r="BN37" s="48">
        <v>21976.175309426209</v>
      </c>
      <c r="BO37" s="48">
        <v>1</v>
      </c>
      <c r="BP37" s="48">
        <v>22024.317776457556</v>
      </c>
      <c r="BQ37" s="48">
        <v>3833.61476624337</v>
      </c>
      <c r="BR37" s="48">
        <v>4857.9186278721563</v>
      </c>
      <c r="BS37" s="48">
        <v>4345.7666970577629</v>
      </c>
      <c r="BT37" s="48">
        <v>13112.287461470514</v>
      </c>
      <c r="BU37" s="48">
        <v>1</v>
      </c>
      <c r="BV37" s="48">
        <v>1</v>
      </c>
      <c r="BW37" s="48">
        <v>1</v>
      </c>
      <c r="BX37" s="48">
        <v>13917.172798721063</v>
      </c>
      <c r="BY37" s="48">
        <v>1</v>
      </c>
      <c r="BZ37" s="48">
        <v>12307.402124219965</v>
      </c>
      <c r="CA37" s="48">
        <v>5242.1346390201879</v>
      </c>
      <c r="CB37" s="48">
        <v>6592.8768166482769</v>
      </c>
      <c r="CC37" s="48">
        <v>5917.5057278342319</v>
      </c>
      <c r="CD37" s="48">
        <v>1569.3820701085656</v>
      </c>
      <c r="CE37" s="48">
        <v>1</v>
      </c>
      <c r="CF37" s="48">
        <v>1</v>
      </c>
      <c r="CG37" s="48">
        <v>1</v>
      </c>
      <c r="CH37" s="48">
        <v>1857.7070560946759</v>
      </c>
      <c r="CI37" s="48">
        <v>1</v>
      </c>
      <c r="CJ37" s="48">
        <v>1281.0570841224551</v>
      </c>
      <c r="CK37" s="48">
        <v>2055.8095914300457</v>
      </c>
      <c r="CL37" s="48">
        <v>4255.8639750286566</v>
      </c>
      <c r="CM37" s="48">
        <v>3155.8367832293511</v>
      </c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</row>
    <row r="38" spans="1:181">
      <c r="A38" s="52" t="s">
        <v>20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>
        <v>20747.292253367803</v>
      </c>
      <c r="CO38" s="48">
        <v>1</v>
      </c>
      <c r="CP38" s="48">
        <v>1</v>
      </c>
      <c r="CQ38" s="48">
        <v>1</v>
      </c>
      <c r="CR38" s="48">
        <v>20832.561737598811</v>
      </c>
      <c r="CS38" s="48">
        <v>1</v>
      </c>
      <c r="CT38" s="48">
        <v>20662.022769136795</v>
      </c>
      <c r="CU38" s="48">
        <v>4771.2469709678644</v>
      </c>
      <c r="CV38" s="48">
        <v>4594.5170129514545</v>
      </c>
      <c r="CW38" s="48">
        <v>4682.881991959659</v>
      </c>
      <c r="CX38" s="48">
        <v>18821.207773259339</v>
      </c>
      <c r="CY38" s="48">
        <v>1</v>
      </c>
      <c r="CZ38" s="48">
        <v>1</v>
      </c>
      <c r="DA38" s="48">
        <v>1</v>
      </c>
      <c r="DB38" s="48">
        <v>20466.42153324269</v>
      </c>
      <c r="DC38" s="48">
        <v>1</v>
      </c>
      <c r="DD38" s="48">
        <v>17175.994013275988</v>
      </c>
      <c r="DE38" s="48">
        <v>2730.9865509079036</v>
      </c>
      <c r="DF38" s="48">
        <v>3860.4332359980685</v>
      </c>
      <c r="DG38" s="48">
        <v>3295.7098934529859</v>
      </c>
      <c r="DH38" s="48">
        <v>19295.671257572958</v>
      </c>
      <c r="DI38" s="48">
        <v>1</v>
      </c>
      <c r="DJ38" s="48">
        <v>1</v>
      </c>
      <c r="DK38" s="48">
        <v>1</v>
      </c>
      <c r="DL38" s="48">
        <v>18628.686004764975</v>
      </c>
      <c r="DM38" s="48">
        <v>1</v>
      </c>
      <c r="DN38" s="48">
        <v>19962.656510380941</v>
      </c>
      <c r="DO38" s="48">
        <v>4877.3495172889843</v>
      </c>
      <c r="DP38" s="48">
        <v>5058.7166728669335</v>
      </c>
      <c r="DQ38" s="48">
        <v>4968.0330950779589</v>
      </c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</row>
    <row r="39" spans="1:181">
      <c r="A39" s="52" t="s">
        <v>22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>
        <v>19464.917644860507</v>
      </c>
      <c r="DS39" s="48">
        <v>1</v>
      </c>
      <c r="DT39" s="48">
        <v>1</v>
      </c>
      <c r="DU39" s="48">
        <v>1</v>
      </c>
      <c r="DV39" s="48">
        <v>19534.880483780988</v>
      </c>
      <c r="DW39" s="48">
        <v>1</v>
      </c>
      <c r="DX39" s="48">
        <v>19394.954805940022</v>
      </c>
      <c r="DY39" s="48">
        <v>7685.7979685903792</v>
      </c>
      <c r="DZ39" s="48">
        <v>7588.4086650451645</v>
      </c>
      <c r="EA39" s="48">
        <v>7637.1033168177719</v>
      </c>
      <c r="EB39" s="48">
        <v>7143.1239426226211</v>
      </c>
      <c r="EC39" s="48">
        <v>1</v>
      </c>
      <c r="ED39" s="48">
        <v>1</v>
      </c>
      <c r="EE39" s="48">
        <v>1</v>
      </c>
      <c r="EF39" s="48">
        <v>11265.804538567007</v>
      </c>
      <c r="EG39" s="48">
        <v>1</v>
      </c>
      <c r="EH39" s="48">
        <v>3020.4433466782352</v>
      </c>
      <c r="EI39" s="48">
        <v>7368.3082965649101</v>
      </c>
      <c r="EJ39" s="48">
        <v>7916.6573265006691</v>
      </c>
      <c r="EK39" s="48">
        <v>7642.4828115327891</v>
      </c>
      <c r="EL39" s="48">
        <v>8227.0403884982643</v>
      </c>
      <c r="EM39" s="48">
        <v>1</v>
      </c>
      <c r="EN39" s="48">
        <v>1</v>
      </c>
      <c r="EO39" s="48">
        <v>1</v>
      </c>
      <c r="EP39" s="48">
        <v>6013.8551501649536</v>
      </c>
      <c r="EQ39" s="48">
        <v>1</v>
      </c>
      <c r="ER39" s="48">
        <v>10440.225626831576</v>
      </c>
      <c r="ES39" s="48">
        <v>4850.9836211335878</v>
      </c>
      <c r="ET39" s="48">
        <v>3563.0557193247055</v>
      </c>
      <c r="EU39" s="48">
        <v>4207.0196702291469</v>
      </c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</row>
    <row r="40" spans="1:181">
      <c r="A40" s="52" t="s">
        <v>24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>
        <v>14327.178522817841</v>
      </c>
      <c r="EW40" s="48">
        <v>1</v>
      </c>
      <c r="EX40" s="48">
        <v>1</v>
      </c>
      <c r="EY40" s="48">
        <v>1</v>
      </c>
      <c r="EZ40" s="48">
        <v>16807.805470245614</v>
      </c>
      <c r="FA40" s="48">
        <v>1</v>
      </c>
      <c r="FB40" s="48">
        <v>11846.551575390067</v>
      </c>
      <c r="FC40" s="48">
        <v>13335.414007308153</v>
      </c>
      <c r="FD40" s="48">
        <v>16450.592166576007</v>
      </c>
      <c r="FE40" s="48">
        <v>14893.003086942081</v>
      </c>
      <c r="FF40" s="48">
        <v>13615.659553706217</v>
      </c>
      <c r="FG40" s="48">
        <v>1</v>
      </c>
      <c r="FH40" s="48">
        <v>1</v>
      </c>
      <c r="FI40" s="48">
        <v>1</v>
      </c>
      <c r="FJ40" s="48">
        <v>12585.31747384982</v>
      </c>
      <c r="FK40" s="48">
        <v>1</v>
      </c>
      <c r="FL40" s="48">
        <v>14646.001633562611</v>
      </c>
      <c r="FM40" s="48">
        <v>16300.578120572911</v>
      </c>
      <c r="FN40" s="48">
        <v>13803.53557949982</v>
      </c>
      <c r="FO40" s="48">
        <v>15052.056850036366</v>
      </c>
      <c r="FP40" s="48">
        <v>3205.1089071903034</v>
      </c>
      <c r="FQ40" s="48">
        <v>1</v>
      </c>
      <c r="FR40" s="48">
        <v>1</v>
      </c>
      <c r="FS40" s="48">
        <v>1</v>
      </c>
      <c r="FT40" s="48">
        <v>3552.013676686186</v>
      </c>
      <c r="FU40" s="48">
        <v>1</v>
      </c>
      <c r="FV40" s="48">
        <v>2858.2041376944208</v>
      </c>
      <c r="FW40" s="48">
        <v>7873.8331334586792</v>
      </c>
      <c r="FX40" s="48">
        <v>9786.8193818969321</v>
      </c>
      <c r="FY40" s="48">
        <v>8830.3262576778052</v>
      </c>
    </row>
    <row r="41" spans="1:181">
      <c r="A41" s="52" t="s">
        <v>26</v>
      </c>
      <c r="B41" s="48">
        <v>29.415581387383444</v>
      </c>
      <c r="C41" s="48">
        <v>1</v>
      </c>
      <c r="D41" s="48">
        <v>1</v>
      </c>
      <c r="E41" s="48">
        <v>1</v>
      </c>
      <c r="F41" s="48">
        <v>33.504221584025238</v>
      </c>
      <c r="G41" s="48">
        <v>1</v>
      </c>
      <c r="H41" s="48">
        <v>25.32694119074165</v>
      </c>
      <c r="I41" s="48">
        <v>63.286974462950987</v>
      </c>
      <c r="J41" s="48">
        <v>111.475414312697</v>
      </c>
      <c r="K41" s="48">
        <v>87.381194387823996</v>
      </c>
      <c r="L41" s="48">
        <v>170.39019518289592</v>
      </c>
      <c r="M41" s="48">
        <v>1</v>
      </c>
      <c r="N41" s="48">
        <v>1</v>
      </c>
      <c r="O41" s="48">
        <v>1</v>
      </c>
      <c r="P41" s="48">
        <v>28.017285376160189</v>
      </c>
      <c r="Q41" s="48">
        <v>1</v>
      </c>
      <c r="R41" s="48">
        <v>312.76310498963164</v>
      </c>
      <c r="S41" s="48">
        <v>5836.6657479302385</v>
      </c>
      <c r="T41" s="48">
        <v>749.94594332163854</v>
      </c>
      <c r="U41" s="48">
        <v>3293.3058456259387</v>
      </c>
      <c r="V41" s="48">
        <v>25.405099165619298</v>
      </c>
      <c r="W41" s="48">
        <v>1</v>
      </c>
      <c r="X41" s="48">
        <v>1</v>
      </c>
      <c r="Y41" s="48">
        <v>1</v>
      </c>
      <c r="Z41" s="48">
        <v>30.743831481099992</v>
      </c>
      <c r="AA41" s="48">
        <v>1</v>
      </c>
      <c r="AB41" s="48">
        <v>20.066366850138603</v>
      </c>
      <c r="AC41" s="48">
        <v>299.12425864009498</v>
      </c>
      <c r="AD41" s="48">
        <v>376.03604774187039</v>
      </c>
      <c r="AE41" s="48">
        <v>337.58015319098268</v>
      </c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</row>
    <row r="42" spans="1:181">
      <c r="A42" s="46">
        <v>100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</row>
    <row r="43" spans="1:181">
      <c r="A43" s="52" t="s">
        <v>7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>
        <v>16624.122085881947</v>
      </c>
      <c r="AG43" s="48">
        <v>1</v>
      </c>
      <c r="AH43" s="48">
        <v>1</v>
      </c>
      <c r="AI43" s="48">
        <v>1</v>
      </c>
      <c r="AJ43" s="48">
        <v>14190.666375390081</v>
      </c>
      <c r="AK43" s="48">
        <v>1</v>
      </c>
      <c r="AL43" s="48">
        <v>19057.577796373815</v>
      </c>
      <c r="AM43" s="48">
        <v>5155.9931866736988</v>
      </c>
      <c r="AN43" s="48">
        <v>4363.0195859965233</v>
      </c>
      <c r="AO43" s="48">
        <v>4759.5063863351115</v>
      </c>
      <c r="AP43" s="48">
        <v>1492.454722730356</v>
      </c>
      <c r="AQ43" s="48">
        <v>1</v>
      </c>
      <c r="AR43" s="48">
        <v>1</v>
      </c>
      <c r="AS43" s="48">
        <v>1</v>
      </c>
      <c r="AT43" s="48">
        <v>990.68158357225184</v>
      </c>
      <c r="AU43" s="48">
        <v>1</v>
      </c>
      <c r="AV43" s="48">
        <v>1994.2278618884602</v>
      </c>
      <c r="AW43" s="48">
        <v>1377.6510681834975</v>
      </c>
      <c r="AX43" s="48">
        <v>1650.4517235989993</v>
      </c>
      <c r="AY43" s="48">
        <v>1514.0513958912484</v>
      </c>
      <c r="AZ43" s="48">
        <v>17595.124763124251</v>
      </c>
      <c r="BA43" s="48">
        <v>1</v>
      </c>
      <c r="BB43" s="48">
        <v>1</v>
      </c>
      <c r="BC43" s="48">
        <v>1</v>
      </c>
      <c r="BD43" s="48">
        <v>18342.097456274932</v>
      </c>
      <c r="BE43" s="48">
        <v>1</v>
      </c>
      <c r="BF43" s="48">
        <v>16848.152069973574</v>
      </c>
      <c r="BG43" s="48">
        <v>4262.3834272233826</v>
      </c>
      <c r="BH43" s="48">
        <v>4057.1921108755241</v>
      </c>
      <c r="BI43" s="48">
        <v>4159.7877690494533</v>
      </c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</row>
    <row r="44" spans="1:181">
      <c r="A44" s="52" t="s">
        <v>18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>
        <v>21148.105840889002</v>
      </c>
      <c r="BK44" s="48">
        <v>1</v>
      </c>
      <c r="BL44" s="48">
        <v>1</v>
      </c>
      <c r="BM44" s="48">
        <v>1</v>
      </c>
      <c r="BN44" s="48">
        <v>22010.561502776749</v>
      </c>
      <c r="BO44" s="48">
        <v>1</v>
      </c>
      <c r="BP44" s="48">
        <v>20285.650179001255</v>
      </c>
      <c r="BQ44" s="48">
        <v>6152.3100815586113</v>
      </c>
      <c r="BR44" s="48">
        <v>3415.9375348369235</v>
      </c>
      <c r="BS44" s="48">
        <v>4784.1238081977672</v>
      </c>
      <c r="BT44" s="48">
        <v>8801.3536203875192</v>
      </c>
      <c r="BU44" s="48">
        <v>1</v>
      </c>
      <c r="BV44" s="48">
        <v>1</v>
      </c>
      <c r="BW44" s="48">
        <v>1</v>
      </c>
      <c r="BX44" s="48">
        <v>7578.127899942795</v>
      </c>
      <c r="BY44" s="48">
        <v>1</v>
      </c>
      <c r="BZ44" s="48">
        <v>10024.579340832242</v>
      </c>
      <c r="CA44" s="48">
        <v>5950.0272418167106</v>
      </c>
      <c r="CB44" s="48">
        <v>6586.1330521022746</v>
      </c>
      <c r="CC44" s="48">
        <v>6268.0801469594926</v>
      </c>
      <c r="CD44" s="48">
        <v>654.93533302732635</v>
      </c>
      <c r="CE44" s="48">
        <v>1</v>
      </c>
      <c r="CF44" s="48">
        <v>1</v>
      </c>
      <c r="CG44" s="48">
        <v>1</v>
      </c>
      <c r="CH44" s="48">
        <v>661.71687897770016</v>
      </c>
      <c r="CI44" s="48">
        <v>1</v>
      </c>
      <c r="CJ44" s="48">
        <v>648.15378707695243</v>
      </c>
      <c r="CK44" s="48">
        <v>2607.7946786737139</v>
      </c>
      <c r="CL44" s="48">
        <v>4673.693254399921</v>
      </c>
      <c r="CM44" s="48">
        <v>3640.7439665368174</v>
      </c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</row>
    <row r="45" spans="1:181">
      <c r="A45" s="52" t="s">
        <v>20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>
        <v>19097.472338571089</v>
      </c>
      <c r="CO45" s="48">
        <v>1</v>
      </c>
      <c r="CP45" s="48">
        <v>1</v>
      </c>
      <c r="CQ45" s="48">
        <v>1</v>
      </c>
      <c r="CR45" s="48">
        <v>18778.449821021844</v>
      </c>
      <c r="CS45" s="48">
        <v>1</v>
      </c>
      <c r="CT45" s="48">
        <v>19416.494856120331</v>
      </c>
      <c r="CU45" s="48">
        <v>6747.7159474429818</v>
      </c>
      <c r="CV45" s="48">
        <v>5184.8675905633163</v>
      </c>
      <c r="CW45" s="48">
        <v>5966.2917690031491</v>
      </c>
      <c r="CX45" s="48">
        <v>17182.440596266955</v>
      </c>
      <c r="CY45" s="48">
        <v>1</v>
      </c>
      <c r="CZ45" s="48">
        <v>1</v>
      </c>
      <c r="DA45" s="48">
        <v>1</v>
      </c>
      <c r="DB45" s="48">
        <v>14835.532967688645</v>
      </c>
      <c r="DC45" s="48">
        <v>1</v>
      </c>
      <c r="DD45" s="48">
        <v>19529.348224845267</v>
      </c>
      <c r="DE45" s="48">
        <v>3955.0750661434317</v>
      </c>
      <c r="DF45" s="48">
        <v>3730.65319463685</v>
      </c>
      <c r="DG45" s="48">
        <v>3842.8641303901409</v>
      </c>
      <c r="DH45" s="48">
        <v>17700.70577075176</v>
      </c>
      <c r="DI45" s="48">
        <v>1</v>
      </c>
      <c r="DJ45" s="48">
        <v>1</v>
      </c>
      <c r="DK45" s="48">
        <v>1</v>
      </c>
      <c r="DL45" s="48">
        <v>18422.990512099655</v>
      </c>
      <c r="DM45" s="48">
        <v>1</v>
      </c>
      <c r="DN45" s="48">
        <v>16978.421029403864</v>
      </c>
      <c r="DO45" s="48">
        <v>5985.2244044617637</v>
      </c>
      <c r="DP45" s="48">
        <v>5783.2537553321781</v>
      </c>
      <c r="DQ45" s="48">
        <v>5884.2390798969709</v>
      </c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</row>
    <row r="46" spans="1:181">
      <c r="A46" s="52" t="s">
        <v>22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>
        <v>19282.106362025879</v>
      </c>
      <c r="DS46" s="48">
        <v>1</v>
      </c>
      <c r="DT46" s="48">
        <v>1</v>
      </c>
      <c r="DU46" s="48">
        <v>1</v>
      </c>
      <c r="DV46" s="48">
        <v>18975.991807615908</v>
      </c>
      <c r="DW46" s="48">
        <v>1</v>
      </c>
      <c r="DX46" s="48">
        <v>19588.22091643585</v>
      </c>
      <c r="DY46" s="48">
        <v>7704.8550296321364</v>
      </c>
      <c r="DZ46" s="48">
        <v>7857.3421833687698</v>
      </c>
      <c r="EA46" s="48">
        <v>7781.0986065004527</v>
      </c>
      <c r="EB46" s="48">
        <v>11530.00854689759</v>
      </c>
      <c r="EC46" s="48">
        <v>1</v>
      </c>
      <c r="ED46" s="48">
        <v>1</v>
      </c>
      <c r="EE46" s="48">
        <v>1</v>
      </c>
      <c r="EF46" s="48">
        <v>10446.355187491403</v>
      </c>
      <c r="EG46" s="48">
        <v>1</v>
      </c>
      <c r="EH46" s="48">
        <v>12613.661906303778</v>
      </c>
      <c r="EI46" s="48">
        <v>7277.3399574223977</v>
      </c>
      <c r="EJ46" s="48">
        <v>7730.2657763901598</v>
      </c>
      <c r="EK46" s="48">
        <v>7503.8028669062787</v>
      </c>
      <c r="EL46" s="48">
        <v>7324.8624743084747</v>
      </c>
      <c r="EM46" s="48">
        <v>1</v>
      </c>
      <c r="EN46" s="48">
        <v>1</v>
      </c>
      <c r="EO46" s="48">
        <v>1</v>
      </c>
      <c r="EP46" s="48">
        <v>6661.5989558162155</v>
      </c>
      <c r="EQ46" s="48">
        <v>1</v>
      </c>
      <c r="ER46" s="48">
        <v>7988.125992800733</v>
      </c>
      <c r="ES46" s="48">
        <v>6307.646550277047</v>
      </c>
      <c r="ET46" s="48">
        <v>5900.696380735023</v>
      </c>
      <c r="EU46" s="48">
        <v>6104.171465506035</v>
      </c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</row>
    <row r="47" spans="1:181">
      <c r="A47" s="52" t="s">
        <v>24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>
        <v>13407.258087276812</v>
      </c>
      <c r="EW47" s="48">
        <v>1</v>
      </c>
      <c r="EX47" s="48">
        <v>1</v>
      </c>
      <c r="EY47" s="48">
        <v>1</v>
      </c>
      <c r="EZ47" s="48">
        <v>12876.749451955646</v>
      </c>
      <c r="FA47" s="48">
        <v>1</v>
      </c>
      <c r="FB47" s="48">
        <v>13937.766722597977</v>
      </c>
      <c r="FC47" s="48">
        <v>15114.908610376853</v>
      </c>
      <c r="FD47" s="48">
        <v>17693.288882998764</v>
      </c>
      <c r="FE47" s="48">
        <v>16404.098746687807</v>
      </c>
      <c r="FF47" s="48">
        <v>12676.377711620253</v>
      </c>
      <c r="FG47" s="48">
        <v>1</v>
      </c>
      <c r="FH47" s="48">
        <v>1</v>
      </c>
      <c r="FI47" s="48">
        <v>1</v>
      </c>
      <c r="FJ47" s="48">
        <v>14191.388251507371</v>
      </c>
      <c r="FK47" s="48">
        <v>1</v>
      </c>
      <c r="FL47" s="48">
        <v>11161.367171733134</v>
      </c>
      <c r="FM47" s="48">
        <v>17744.887260022631</v>
      </c>
      <c r="FN47" s="48">
        <v>16844.428485097142</v>
      </c>
      <c r="FO47" s="48">
        <v>17294.657872559888</v>
      </c>
      <c r="FP47" s="48">
        <v>4246.1160996569361</v>
      </c>
      <c r="FQ47" s="48">
        <v>1</v>
      </c>
      <c r="FR47" s="48">
        <v>1</v>
      </c>
      <c r="FS47" s="48">
        <v>1</v>
      </c>
      <c r="FT47" s="48">
        <v>5836.5660393042144</v>
      </c>
      <c r="FU47" s="48">
        <v>1</v>
      </c>
      <c r="FV47" s="48">
        <v>2655.6661600096581</v>
      </c>
      <c r="FW47" s="48">
        <v>15283.578404056578</v>
      </c>
      <c r="FX47" s="48">
        <v>16863.184362034131</v>
      </c>
      <c r="FY47" s="48">
        <v>16073.381383045355</v>
      </c>
    </row>
    <row r="48" spans="1:181">
      <c r="A48" s="52" t="s">
        <v>26</v>
      </c>
      <c r="B48" s="48">
        <v>112.13342645674872</v>
      </c>
      <c r="C48" s="48">
        <v>1</v>
      </c>
      <c r="D48" s="48">
        <v>1</v>
      </c>
      <c r="E48" s="48">
        <v>1</v>
      </c>
      <c r="F48" s="48">
        <v>198.9399117227558</v>
      </c>
      <c r="G48" s="48">
        <v>1</v>
      </c>
      <c r="H48" s="48">
        <v>25.32694119074165</v>
      </c>
      <c r="I48" s="48">
        <v>598.74327250175611</v>
      </c>
      <c r="J48" s="48">
        <v>334.00148671703187</v>
      </c>
      <c r="K48" s="48">
        <v>466.37237960939399</v>
      </c>
      <c r="L48" s="48">
        <v>33.648081064179479</v>
      </c>
      <c r="M48" s="48">
        <v>1</v>
      </c>
      <c r="N48" s="48">
        <v>1</v>
      </c>
      <c r="O48" s="48">
        <v>1</v>
      </c>
      <c r="P48" s="48">
        <v>41.969220937617315</v>
      </c>
      <c r="Q48" s="48">
        <v>1</v>
      </c>
      <c r="R48" s="48">
        <v>25.32694119074165</v>
      </c>
      <c r="S48" s="48">
        <v>2022.9992002244692</v>
      </c>
      <c r="T48" s="48">
        <v>4440.6143301609391</v>
      </c>
      <c r="U48" s="48">
        <v>3231.806765192704</v>
      </c>
      <c r="V48" s="48">
        <v>34.993253156888755</v>
      </c>
      <c r="W48" s="48">
        <v>1</v>
      </c>
      <c r="X48" s="48">
        <v>1</v>
      </c>
      <c r="Y48" s="48">
        <v>1</v>
      </c>
      <c r="Z48" s="48">
        <v>41.969220937617315</v>
      </c>
      <c r="AA48" s="48">
        <v>1</v>
      </c>
      <c r="AB48" s="48">
        <v>28.017285376160189</v>
      </c>
      <c r="AC48" s="48">
        <v>1458.0779895199144</v>
      </c>
      <c r="AD48" s="48">
        <v>1369.1841086031648</v>
      </c>
      <c r="AE48" s="48">
        <v>1413.6310490615397</v>
      </c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7"/>
  <sheetViews>
    <sheetView tabSelected="1" workbookViewId="0">
      <selection activeCell="Q18" sqref="Q18"/>
    </sheetView>
  </sheetViews>
  <sheetFormatPr baseColWidth="10" defaultColWidth="8.83203125" defaultRowHeight="15"/>
  <sheetData>
    <row r="1" spans="1:14" ht="17" thickBot="1">
      <c r="A1" s="1" t="s">
        <v>0</v>
      </c>
      <c r="B1" s="2" t="s">
        <v>1</v>
      </c>
      <c r="C1" s="2" t="s">
        <v>34</v>
      </c>
      <c r="D1" s="3" t="s">
        <v>2</v>
      </c>
      <c r="E1" s="3" t="s">
        <v>3</v>
      </c>
      <c r="F1" s="1" t="s">
        <v>4</v>
      </c>
      <c r="G1" s="47" t="s">
        <v>36</v>
      </c>
      <c r="H1" s="4" t="s">
        <v>5</v>
      </c>
      <c r="I1" s="5" t="s">
        <v>27</v>
      </c>
      <c r="J1" s="5" t="s">
        <v>28</v>
      </c>
      <c r="K1" s="47" t="s">
        <v>32</v>
      </c>
      <c r="L1" s="5" t="s">
        <v>29</v>
      </c>
      <c r="M1" s="5" t="s">
        <v>30</v>
      </c>
      <c r="N1" s="5" t="s">
        <v>31</v>
      </c>
    </row>
    <row r="2" spans="1:14" ht="16">
      <c r="A2" s="6" t="s">
        <v>6</v>
      </c>
      <c r="B2" s="7" t="s">
        <v>7</v>
      </c>
      <c r="C2" s="49">
        <v>5.0000000000000001E-3</v>
      </c>
      <c r="D2" s="8">
        <v>1</v>
      </c>
      <c r="E2" s="8" t="s">
        <v>8</v>
      </c>
      <c r="F2" s="9" t="s">
        <v>9</v>
      </c>
      <c r="G2" s="9">
        <v>0</v>
      </c>
      <c r="H2" s="10" t="s">
        <v>10</v>
      </c>
      <c r="I2" s="11">
        <v>358.57336760450937</v>
      </c>
      <c r="J2" s="12">
        <v>812.86302985277109</v>
      </c>
      <c r="K2" s="13">
        <f t="shared" ref="K2:K65" si="0">AVERAGE(I2:J2)</f>
        <v>585.71819872864023</v>
      </c>
      <c r="L2" s="11">
        <v>466.42271884737994</v>
      </c>
      <c r="M2" s="12">
        <v>1116.2105224398442</v>
      </c>
      <c r="N2" s="13">
        <f t="shared" ref="N2:N65" si="1">AVERAGE(L2:M2)</f>
        <v>791.31662064361205</v>
      </c>
    </row>
    <row r="3" spans="1:14" ht="16">
      <c r="A3" s="6" t="s">
        <v>6</v>
      </c>
      <c r="B3" s="14" t="s">
        <v>7</v>
      </c>
      <c r="C3" s="49">
        <v>5.0000000000000001E-3</v>
      </c>
      <c r="D3" s="8">
        <v>1</v>
      </c>
      <c r="E3" s="8" t="s">
        <v>8</v>
      </c>
      <c r="F3" s="15" t="s">
        <v>11</v>
      </c>
      <c r="G3" s="15">
        <v>2E-3</v>
      </c>
      <c r="H3" s="16" t="s">
        <v>10</v>
      </c>
      <c r="I3" s="17">
        <v>13515.841671221931</v>
      </c>
      <c r="J3" s="18">
        <v>4427.5194698562709</v>
      </c>
      <c r="K3" s="13">
        <f>AVERAGE(I3:J3)</f>
        <v>8971.6805705391016</v>
      </c>
      <c r="L3" s="17">
        <v>431.06950099465632</v>
      </c>
      <c r="M3" s="18">
        <v>1131.8292884327925</v>
      </c>
      <c r="N3" s="13">
        <f>AVERAGE(L3:M3)</f>
        <v>781.44939471372436</v>
      </c>
    </row>
    <row r="4" spans="1:14" ht="16">
      <c r="A4" s="6" t="s">
        <v>6</v>
      </c>
      <c r="B4" s="14" t="s">
        <v>7</v>
      </c>
      <c r="C4" s="49">
        <v>5.0000000000000001E-3</v>
      </c>
      <c r="D4" s="8">
        <v>1</v>
      </c>
      <c r="E4" s="8" t="s">
        <v>8</v>
      </c>
      <c r="F4" s="19" t="s">
        <v>12</v>
      </c>
      <c r="G4" s="19">
        <v>0.02</v>
      </c>
      <c r="H4" s="16" t="s">
        <v>10</v>
      </c>
      <c r="I4" s="17">
        <v>11949.101098892379</v>
      </c>
      <c r="J4" s="18">
        <v>11312.593641525489</v>
      </c>
      <c r="K4" s="13">
        <f>AVERAGE(I4:J4)</f>
        <v>11630.847370208934</v>
      </c>
      <c r="L4" s="17">
        <v>1553.0594266681981</v>
      </c>
      <c r="M4" s="18">
        <v>1755.5933895992071</v>
      </c>
      <c r="N4" s="13">
        <f>AVERAGE(L4:M4)</f>
        <v>1654.3264081337024</v>
      </c>
    </row>
    <row r="5" spans="1:14" ht="16">
      <c r="A5" s="6" t="s">
        <v>6</v>
      </c>
      <c r="B5" s="14" t="s">
        <v>7</v>
      </c>
      <c r="C5" s="49">
        <v>5.0000000000000001E-3</v>
      </c>
      <c r="D5" s="8">
        <v>1</v>
      </c>
      <c r="E5" s="8" t="s">
        <v>8</v>
      </c>
      <c r="F5" s="19" t="s">
        <v>13</v>
      </c>
      <c r="G5" s="19">
        <v>2</v>
      </c>
      <c r="H5" s="16" t="s">
        <v>10</v>
      </c>
      <c r="I5" s="20">
        <v>12230.731943478451</v>
      </c>
      <c r="J5" s="21">
        <v>15092.763200559712</v>
      </c>
      <c r="K5" s="13">
        <f>AVERAGE(I5:J5)</f>
        <v>13661.747572019081</v>
      </c>
      <c r="L5" s="20">
        <v>5855.464368004029</v>
      </c>
      <c r="M5" s="21">
        <v>1930.7394518179265</v>
      </c>
      <c r="N5" s="13">
        <f>AVERAGE(L5:M5)</f>
        <v>3893.1019099109776</v>
      </c>
    </row>
    <row r="6" spans="1:14" ht="16">
      <c r="A6" s="6" t="s">
        <v>6</v>
      </c>
      <c r="B6" s="14" t="s">
        <v>7</v>
      </c>
      <c r="C6" s="49">
        <v>5.0000000000000001E-3</v>
      </c>
      <c r="D6" s="8">
        <v>1</v>
      </c>
      <c r="E6" s="8" t="s">
        <v>8</v>
      </c>
      <c r="F6" s="19" t="s">
        <v>14</v>
      </c>
      <c r="G6" s="19">
        <v>20</v>
      </c>
      <c r="H6" s="16" t="s">
        <v>10</v>
      </c>
      <c r="I6" s="20">
        <v>18856.98596876716</v>
      </c>
      <c r="J6" s="21">
        <v>20099.480139553343</v>
      </c>
      <c r="K6" s="13">
        <f>AVERAGE(I6:J6)</f>
        <v>19478.23305416025</v>
      </c>
      <c r="L6" s="20">
        <v>5998.3809086807696</v>
      </c>
      <c r="M6" s="21">
        <v>7426.4048529727879</v>
      </c>
      <c r="N6" s="13">
        <f>AVERAGE(L6:M6)</f>
        <v>6712.3928808267792</v>
      </c>
    </row>
    <row r="7" spans="1:14" ht="16">
      <c r="A7" s="6" t="s">
        <v>6</v>
      </c>
      <c r="B7" s="14" t="s">
        <v>7</v>
      </c>
      <c r="C7" s="49">
        <v>5.0000000000000001E-3</v>
      </c>
      <c r="D7" s="8">
        <v>1</v>
      </c>
      <c r="E7" s="8" t="s">
        <v>8</v>
      </c>
      <c r="F7" s="19" t="s">
        <v>15</v>
      </c>
      <c r="G7" s="19">
        <v>100</v>
      </c>
      <c r="H7" s="16" t="s">
        <v>10</v>
      </c>
      <c r="I7" s="22">
        <v>14190.666375390081</v>
      </c>
      <c r="J7" s="23">
        <v>19057.577796373815</v>
      </c>
      <c r="K7" s="24">
        <f>AVERAGE(I7:J7)</f>
        <v>16624.122085881947</v>
      </c>
      <c r="L7" s="22">
        <v>5155.9931866736988</v>
      </c>
      <c r="M7" s="23">
        <v>4363.0195859965233</v>
      </c>
      <c r="N7" s="24">
        <f>AVERAGE(L7:M7)</f>
        <v>4759.5063863351115</v>
      </c>
    </row>
    <row r="8" spans="1:14" ht="16">
      <c r="A8" s="25" t="s">
        <v>6</v>
      </c>
      <c r="B8" s="26" t="s">
        <v>7</v>
      </c>
      <c r="C8" s="50">
        <v>5.0000000000000001E-3</v>
      </c>
      <c r="D8" s="27">
        <v>1</v>
      </c>
      <c r="E8" s="27" t="s">
        <v>8</v>
      </c>
      <c r="F8" s="28" t="s">
        <v>16</v>
      </c>
      <c r="G8" s="28" t="s">
        <v>35</v>
      </c>
      <c r="H8" s="29" t="s">
        <v>10</v>
      </c>
      <c r="I8" s="20">
        <v>468.7767515233777</v>
      </c>
      <c r="J8" s="21">
        <v>333.93320927145311</v>
      </c>
      <c r="K8" s="30">
        <f t="shared" si="0"/>
        <v>401.35498039741537</v>
      </c>
      <c r="L8" s="20">
        <v>13073.131956552246</v>
      </c>
      <c r="M8" s="21">
        <v>13830.012661472931</v>
      </c>
      <c r="N8" s="30">
        <f t="shared" si="1"/>
        <v>13451.572309012588</v>
      </c>
    </row>
    <row r="9" spans="1:14" ht="16">
      <c r="A9" s="6" t="s">
        <v>6</v>
      </c>
      <c r="B9" s="14" t="s">
        <v>7</v>
      </c>
      <c r="C9" s="49">
        <v>5.0000000000000001E-3</v>
      </c>
      <c r="D9" s="8">
        <v>2</v>
      </c>
      <c r="E9" s="8" t="s">
        <v>8</v>
      </c>
      <c r="F9" s="9" t="s">
        <v>9</v>
      </c>
      <c r="G9" s="9">
        <v>0</v>
      </c>
      <c r="H9" s="16" t="s">
        <v>10</v>
      </c>
      <c r="I9" s="20">
        <v>64.951511466153505</v>
      </c>
      <c r="J9" s="21">
        <v>95.014901639768382</v>
      </c>
      <c r="K9" s="13">
        <f t="shared" si="0"/>
        <v>79.983206552960951</v>
      </c>
      <c r="L9" s="20">
        <v>999.02289576739031</v>
      </c>
      <c r="M9" s="21">
        <v>1260.6322248319784</v>
      </c>
      <c r="N9" s="13">
        <f t="shared" si="1"/>
        <v>1129.8275602996844</v>
      </c>
    </row>
    <row r="10" spans="1:14" ht="16">
      <c r="A10" s="6" t="s">
        <v>6</v>
      </c>
      <c r="B10" s="14" t="s">
        <v>7</v>
      </c>
      <c r="C10" s="49">
        <v>5.0000000000000001E-3</v>
      </c>
      <c r="D10" s="8">
        <v>2</v>
      </c>
      <c r="E10" s="8" t="s">
        <v>8</v>
      </c>
      <c r="F10" s="15" t="s">
        <v>11</v>
      </c>
      <c r="G10" s="15">
        <v>2E-3</v>
      </c>
      <c r="H10" s="16" t="s">
        <v>10</v>
      </c>
      <c r="I10" s="22">
        <v>920.24212779472339</v>
      </c>
      <c r="J10" s="23">
        <v>3128.1170907382225</v>
      </c>
      <c r="K10" s="13">
        <f t="shared" si="0"/>
        <v>2024.1796092664729</v>
      </c>
      <c r="L10" s="22">
        <v>277.62861356746532</v>
      </c>
      <c r="M10" s="23">
        <v>1666.0309565046484</v>
      </c>
      <c r="N10" s="13">
        <f t="shared" si="1"/>
        <v>971.82978503605682</v>
      </c>
    </row>
    <row r="11" spans="1:14" ht="16">
      <c r="A11" s="6" t="s">
        <v>6</v>
      </c>
      <c r="B11" s="14" t="s">
        <v>7</v>
      </c>
      <c r="C11" s="49">
        <v>5.0000000000000001E-3</v>
      </c>
      <c r="D11" s="8">
        <v>2</v>
      </c>
      <c r="E11" s="8" t="s">
        <v>8</v>
      </c>
      <c r="F11" s="19" t="s">
        <v>12</v>
      </c>
      <c r="G11" s="19">
        <v>0.02</v>
      </c>
      <c r="H11" s="16" t="s">
        <v>10</v>
      </c>
      <c r="I11" s="22">
        <v>1643.256668816932</v>
      </c>
      <c r="J11" s="23">
        <v>2599.8411172080391</v>
      </c>
      <c r="K11" s="30">
        <f t="shared" si="0"/>
        <v>2121.5488930124857</v>
      </c>
      <c r="L11" s="22">
        <v>584.14728920044888</v>
      </c>
      <c r="M11" s="23">
        <v>764.36584491840404</v>
      </c>
      <c r="N11" s="30">
        <f t="shared" si="1"/>
        <v>674.25656705942652</v>
      </c>
    </row>
    <row r="12" spans="1:14" ht="16">
      <c r="A12" s="6" t="s">
        <v>6</v>
      </c>
      <c r="B12" s="14" t="s">
        <v>7</v>
      </c>
      <c r="C12" s="49">
        <v>5.0000000000000001E-3</v>
      </c>
      <c r="D12" s="8">
        <v>2</v>
      </c>
      <c r="E12" s="8" t="s">
        <v>8</v>
      </c>
      <c r="F12" s="19" t="s">
        <v>13</v>
      </c>
      <c r="G12" s="19">
        <v>2</v>
      </c>
      <c r="H12" s="16" t="s">
        <v>10</v>
      </c>
      <c r="I12" s="31">
        <v>1942.0536066572299</v>
      </c>
      <c r="J12" s="32">
        <v>3671.0457725004876</v>
      </c>
      <c r="K12" s="13">
        <f>AVERAGE(I12:J12)</f>
        <v>2806.5496895788588</v>
      </c>
      <c r="L12" s="31">
        <v>916.93874928061746</v>
      </c>
      <c r="M12" s="32">
        <v>1798.4169753522754</v>
      </c>
      <c r="N12" s="13">
        <f>AVERAGE(L12:M12)</f>
        <v>1357.6778623164464</v>
      </c>
    </row>
    <row r="13" spans="1:14" ht="16">
      <c r="A13" s="6" t="s">
        <v>6</v>
      </c>
      <c r="B13" s="14" t="s">
        <v>7</v>
      </c>
      <c r="C13" s="49">
        <v>5.0000000000000001E-3</v>
      </c>
      <c r="D13" s="8">
        <v>2</v>
      </c>
      <c r="E13" s="8" t="s">
        <v>8</v>
      </c>
      <c r="F13" s="19" t="s">
        <v>14</v>
      </c>
      <c r="G13" s="19">
        <v>20</v>
      </c>
      <c r="H13" s="16" t="s">
        <v>10</v>
      </c>
      <c r="I13" s="22">
        <v>6434.1591392043119</v>
      </c>
      <c r="J13" s="23">
        <v>5101.1880638138073</v>
      </c>
      <c r="K13" s="13">
        <f t="shared" si="0"/>
        <v>5767.6736015090592</v>
      </c>
      <c r="L13" s="22">
        <v>729.1298138511745</v>
      </c>
      <c r="M13" s="23">
        <v>780.02287573289789</v>
      </c>
      <c r="N13" s="13">
        <f t="shared" si="1"/>
        <v>754.57634479203625</v>
      </c>
    </row>
    <row r="14" spans="1:14" ht="16">
      <c r="A14" s="6" t="s">
        <v>6</v>
      </c>
      <c r="B14" s="14" t="s">
        <v>7</v>
      </c>
      <c r="C14" s="49">
        <v>5.0000000000000001E-3</v>
      </c>
      <c r="D14" s="8">
        <v>2</v>
      </c>
      <c r="E14" s="8" t="s">
        <v>8</v>
      </c>
      <c r="F14" s="19" t="s">
        <v>15</v>
      </c>
      <c r="G14" s="19">
        <v>100</v>
      </c>
      <c r="H14" s="16" t="s">
        <v>10</v>
      </c>
      <c r="I14" s="22">
        <v>990.68158357225184</v>
      </c>
      <c r="J14" s="23">
        <v>1994.2278618884602</v>
      </c>
      <c r="K14" s="30">
        <f t="shared" si="0"/>
        <v>1492.454722730356</v>
      </c>
      <c r="L14" s="22">
        <v>1377.6510681834975</v>
      </c>
      <c r="M14" s="23">
        <v>1650.4517235989993</v>
      </c>
      <c r="N14" s="30">
        <f t="shared" si="1"/>
        <v>1514.0513958912484</v>
      </c>
    </row>
    <row r="15" spans="1:14" ht="16">
      <c r="A15" s="25" t="s">
        <v>6</v>
      </c>
      <c r="B15" s="26" t="s">
        <v>7</v>
      </c>
      <c r="C15" s="50">
        <v>5.0000000000000001E-3</v>
      </c>
      <c r="D15" s="27">
        <v>2</v>
      </c>
      <c r="E15" s="27" t="s">
        <v>8</v>
      </c>
      <c r="F15" s="28" t="s">
        <v>16</v>
      </c>
      <c r="G15" s="28" t="s">
        <v>35</v>
      </c>
      <c r="H15" s="29" t="s">
        <v>10</v>
      </c>
      <c r="I15" s="31">
        <v>319.22952404101358</v>
      </c>
      <c r="J15" s="32">
        <v>285.17037214842185</v>
      </c>
      <c r="K15" s="30">
        <f>AVERAGE(I15:J15)</f>
        <v>302.19994809471768</v>
      </c>
      <c r="L15" s="31">
        <v>13699.403203034977</v>
      </c>
      <c r="M15" s="32">
        <v>13887.631921258753</v>
      </c>
      <c r="N15" s="30">
        <f>AVERAGE(L15:M15)</f>
        <v>13793.517562146866</v>
      </c>
    </row>
    <row r="16" spans="1:14" ht="16">
      <c r="A16" s="6" t="s">
        <v>6</v>
      </c>
      <c r="B16" s="14" t="s">
        <v>7</v>
      </c>
      <c r="C16" s="49">
        <v>5.0000000000000001E-3</v>
      </c>
      <c r="D16" s="8">
        <v>3</v>
      </c>
      <c r="E16" s="8" t="s">
        <v>8</v>
      </c>
      <c r="F16" s="9" t="s">
        <v>9</v>
      </c>
      <c r="G16" s="9">
        <v>0</v>
      </c>
      <c r="H16" s="16" t="s">
        <v>10</v>
      </c>
      <c r="I16" s="20">
        <v>1797.8199998974769</v>
      </c>
      <c r="J16" s="21">
        <v>2599.8411172080391</v>
      </c>
      <c r="K16" s="13">
        <f t="shared" si="0"/>
        <v>2198.8305585527578</v>
      </c>
      <c r="L16" s="20">
        <v>438.92735250135451</v>
      </c>
      <c r="M16" s="21">
        <v>1463.4233810621101</v>
      </c>
      <c r="N16" s="13">
        <f t="shared" si="1"/>
        <v>951.17536678173235</v>
      </c>
    </row>
    <row r="17" spans="1:14" ht="16">
      <c r="A17" s="6" t="s">
        <v>6</v>
      </c>
      <c r="B17" s="14" t="s">
        <v>7</v>
      </c>
      <c r="C17" s="49">
        <v>5.0000000000000001E-3</v>
      </c>
      <c r="D17" s="8">
        <v>3</v>
      </c>
      <c r="E17" s="8" t="s">
        <v>8</v>
      </c>
      <c r="F17" s="15" t="s">
        <v>11</v>
      </c>
      <c r="G17" s="15">
        <v>2E-3</v>
      </c>
      <c r="H17" s="16" t="s">
        <v>10</v>
      </c>
      <c r="I17" s="17">
        <v>4974.5995302117453</v>
      </c>
      <c r="J17" s="18">
        <v>4590.3868490101477</v>
      </c>
      <c r="K17" s="30">
        <f t="shared" si="0"/>
        <v>4782.4931896109465</v>
      </c>
      <c r="L17" s="17">
        <v>952.12329559253351</v>
      </c>
      <c r="M17" s="18">
        <v>1494.6050866775004</v>
      </c>
      <c r="N17" s="30">
        <f t="shared" si="1"/>
        <v>1223.3641911350169</v>
      </c>
    </row>
    <row r="18" spans="1:14" ht="16">
      <c r="A18" s="6" t="s">
        <v>6</v>
      </c>
      <c r="B18" s="14" t="s">
        <v>7</v>
      </c>
      <c r="C18" s="49">
        <v>5.0000000000000001E-3</v>
      </c>
      <c r="D18" s="8">
        <v>3</v>
      </c>
      <c r="E18" s="8" t="s">
        <v>8</v>
      </c>
      <c r="F18" s="19" t="s">
        <v>12</v>
      </c>
      <c r="G18" s="19">
        <v>0.02</v>
      </c>
      <c r="H18" s="16" t="s">
        <v>10</v>
      </c>
      <c r="I18" s="31">
        <v>8408.9676612036237</v>
      </c>
      <c r="J18" s="32">
        <v>13363.220285351075</v>
      </c>
      <c r="K18" s="13">
        <f>AVERAGE(I18:J18)</f>
        <v>10886.09397327735</v>
      </c>
      <c r="L18" s="31">
        <v>1471.2192098701867</v>
      </c>
      <c r="M18" s="32">
        <v>807.41777587120009</v>
      </c>
      <c r="N18" s="13">
        <f>AVERAGE(L18:M18)</f>
        <v>1139.3184928706933</v>
      </c>
    </row>
    <row r="19" spans="1:14" ht="16">
      <c r="A19" s="6" t="s">
        <v>6</v>
      </c>
      <c r="B19" s="14" t="s">
        <v>7</v>
      </c>
      <c r="C19" s="49">
        <v>5.0000000000000001E-3</v>
      </c>
      <c r="D19" s="8">
        <v>3</v>
      </c>
      <c r="E19" s="8" t="s">
        <v>8</v>
      </c>
      <c r="F19" s="19" t="s">
        <v>13</v>
      </c>
      <c r="G19" s="19">
        <v>2</v>
      </c>
      <c r="H19" s="16" t="s">
        <v>10</v>
      </c>
      <c r="I19" s="17">
        <v>18142.225240480857</v>
      </c>
      <c r="J19" s="18">
        <v>19531.179938975682</v>
      </c>
      <c r="K19" s="13">
        <f t="shared" si="0"/>
        <v>18836.702589728269</v>
      </c>
      <c r="L19" s="17">
        <v>1938.5212455857527</v>
      </c>
      <c r="M19" s="18">
        <v>2408.9682878667845</v>
      </c>
      <c r="N19" s="13">
        <f t="shared" si="1"/>
        <v>2173.7447667262686</v>
      </c>
    </row>
    <row r="20" spans="1:14" ht="16">
      <c r="A20" s="6" t="s">
        <v>6</v>
      </c>
      <c r="B20" s="14" t="s">
        <v>7</v>
      </c>
      <c r="C20" s="49">
        <v>5.0000000000000001E-3</v>
      </c>
      <c r="D20" s="8">
        <v>3</v>
      </c>
      <c r="E20" s="8" t="s">
        <v>8</v>
      </c>
      <c r="F20" s="19" t="s">
        <v>14</v>
      </c>
      <c r="G20" s="19">
        <v>20</v>
      </c>
      <c r="H20" s="16" t="s">
        <v>10</v>
      </c>
      <c r="I20" s="17">
        <v>19998.65792776956</v>
      </c>
      <c r="J20" s="18">
        <v>22685.919712433581</v>
      </c>
      <c r="K20" s="30">
        <f t="shared" si="0"/>
        <v>21342.28882010157</v>
      </c>
      <c r="L20" s="17">
        <v>4022.3416753175966</v>
      </c>
      <c r="M20" s="18">
        <v>4177.2176708959323</v>
      </c>
      <c r="N20" s="30">
        <f t="shared" si="1"/>
        <v>4099.7796731067647</v>
      </c>
    </row>
    <row r="21" spans="1:14" ht="16">
      <c r="A21" s="6" t="s">
        <v>6</v>
      </c>
      <c r="B21" s="14" t="s">
        <v>7</v>
      </c>
      <c r="C21" s="49">
        <v>5.0000000000000001E-3</v>
      </c>
      <c r="D21" s="8">
        <v>3</v>
      </c>
      <c r="E21" s="8" t="s">
        <v>8</v>
      </c>
      <c r="F21" s="19" t="s">
        <v>15</v>
      </c>
      <c r="G21" s="19">
        <v>100</v>
      </c>
      <c r="H21" s="16" t="s">
        <v>10</v>
      </c>
      <c r="I21" s="20">
        <v>18342.097456274932</v>
      </c>
      <c r="J21" s="21">
        <v>16848.152069973574</v>
      </c>
      <c r="K21" s="13">
        <f t="shared" si="0"/>
        <v>17595.124763124251</v>
      </c>
      <c r="L21" s="20">
        <v>4262.3834272233826</v>
      </c>
      <c r="M21" s="21">
        <v>4057.1921108755241</v>
      </c>
      <c r="N21" s="13">
        <f t="shared" si="1"/>
        <v>4159.7877690494533</v>
      </c>
    </row>
    <row r="22" spans="1:14" ht="17" thickBot="1">
      <c r="A22" s="2" t="s">
        <v>6</v>
      </c>
      <c r="B22" s="33" t="s">
        <v>7</v>
      </c>
      <c r="C22" s="51">
        <v>5.0000000000000001E-3</v>
      </c>
      <c r="D22" s="34">
        <v>3</v>
      </c>
      <c r="E22" s="34" t="s">
        <v>8</v>
      </c>
      <c r="F22" s="35" t="s">
        <v>16</v>
      </c>
      <c r="G22" s="28" t="s">
        <v>35</v>
      </c>
      <c r="H22" s="36" t="s">
        <v>10</v>
      </c>
      <c r="I22" s="37">
        <v>241.93909087851901</v>
      </c>
      <c r="J22" s="38">
        <v>319.22952404101358</v>
      </c>
      <c r="K22" s="39">
        <f t="shared" si="0"/>
        <v>280.58430745976631</v>
      </c>
      <c r="L22" s="37">
        <v>13534.209019264632</v>
      </c>
      <c r="M22" s="38">
        <v>13733.97708163578</v>
      </c>
      <c r="N22" s="39">
        <f t="shared" si="1"/>
        <v>13634.093050450207</v>
      </c>
    </row>
    <row r="23" spans="1:14" ht="16">
      <c r="A23" s="6" t="s">
        <v>17</v>
      </c>
      <c r="B23" s="7" t="s">
        <v>18</v>
      </c>
      <c r="C23" s="49">
        <v>0.05</v>
      </c>
      <c r="D23" s="8">
        <v>1</v>
      </c>
      <c r="E23" s="8" t="s">
        <v>8</v>
      </c>
      <c r="F23" s="9" t="s">
        <v>9</v>
      </c>
      <c r="G23" s="9">
        <v>0</v>
      </c>
      <c r="H23" s="16" t="s">
        <v>10</v>
      </c>
      <c r="I23" s="20">
        <v>131.47531357100004</v>
      </c>
      <c r="J23" s="21">
        <v>0</v>
      </c>
      <c r="K23" s="30">
        <f t="shared" si="0"/>
        <v>65.737656785500022</v>
      </c>
      <c r="L23" s="20">
        <v>330.38225568002099</v>
      </c>
      <c r="M23" s="21">
        <v>198.49930190363631</v>
      </c>
      <c r="N23" s="30">
        <f t="shared" si="1"/>
        <v>264.44077879182862</v>
      </c>
    </row>
    <row r="24" spans="1:14" ht="16">
      <c r="A24" s="6" t="s">
        <v>17</v>
      </c>
      <c r="B24" s="14" t="s">
        <v>18</v>
      </c>
      <c r="C24" s="49">
        <v>0.05</v>
      </c>
      <c r="D24" s="8">
        <v>1</v>
      </c>
      <c r="E24" s="8" t="s">
        <v>8</v>
      </c>
      <c r="F24" s="15" t="s">
        <v>11</v>
      </c>
      <c r="G24" s="15">
        <v>2E-3</v>
      </c>
      <c r="H24" s="16" t="s">
        <v>10</v>
      </c>
      <c r="I24" s="20">
        <v>8449.8597414309679</v>
      </c>
      <c r="J24" s="21">
        <v>8052.2157076944668</v>
      </c>
      <c r="K24" s="13">
        <f>AVERAGE(I24:J24)</f>
        <v>8251.0377245627169</v>
      </c>
      <c r="L24" s="20">
        <v>1042.3450204291928</v>
      </c>
      <c r="M24" s="21">
        <v>368.40157136896602</v>
      </c>
      <c r="N24" s="13">
        <f>AVERAGE(L24:M24)</f>
        <v>705.37329589907938</v>
      </c>
    </row>
    <row r="25" spans="1:14" ht="16">
      <c r="A25" s="6" t="s">
        <v>17</v>
      </c>
      <c r="B25" s="14" t="s">
        <v>18</v>
      </c>
      <c r="C25" s="49">
        <v>0.05</v>
      </c>
      <c r="D25" s="8">
        <v>1</v>
      </c>
      <c r="E25" s="8" t="s">
        <v>8</v>
      </c>
      <c r="F25" s="19" t="s">
        <v>12</v>
      </c>
      <c r="G25" s="19">
        <v>0.02</v>
      </c>
      <c r="H25" s="16" t="s">
        <v>10</v>
      </c>
      <c r="I25" s="22">
        <v>20306.085012453928</v>
      </c>
      <c r="J25" s="23">
        <v>19057.365328615117</v>
      </c>
      <c r="K25" s="13">
        <f t="shared" si="0"/>
        <v>19681.725170534522</v>
      </c>
      <c r="L25" s="22">
        <v>1757.4827287874068</v>
      </c>
      <c r="M25" s="23">
        <v>1358.3600906235934</v>
      </c>
      <c r="N25" s="13">
        <f t="shared" si="1"/>
        <v>1557.9214097055001</v>
      </c>
    </row>
    <row r="26" spans="1:14" ht="16">
      <c r="A26" s="6" t="s">
        <v>17</v>
      </c>
      <c r="B26" s="14" t="s">
        <v>18</v>
      </c>
      <c r="C26" s="49">
        <v>0.05</v>
      </c>
      <c r="D26" s="8">
        <v>1</v>
      </c>
      <c r="E26" s="8" t="s">
        <v>8</v>
      </c>
      <c r="F26" s="19" t="s">
        <v>13</v>
      </c>
      <c r="G26" s="19">
        <v>2</v>
      </c>
      <c r="H26" s="16" t="s">
        <v>10</v>
      </c>
      <c r="I26" s="22">
        <v>22471.952297821375</v>
      </c>
      <c r="J26" s="23">
        <v>20708.466651346433</v>
      </c>
      <c r="K26" s="30">
        <f t="shared" si="0"/>
        <v>21590.209474583906</v>
      </c>
      <c r="L26" s="22">
        <v>3537.1899412075277</v>
      </c>
      <c r="M26" s="23">
        <v>1813.5528815966466</v>
      </c>
      <c r="N26" s="30">
        <f t="shared" si="1"/>
        <v>2675.3714114020872</v>
      </c>
    </row>
    <row r="27" spans="1:14" ht="16">
      <c r="A27" s="6" t="s">
        <v>17</v>
      </c>
      <c r="B27" s="14" t="s">
        <v>18</v>
      </c>
      <c r="C27" s="49">
        <v>0.05</v>
      </c>
      <c r="D27" s="8">
        <v>1</v>
      </c>
      <c r="E27" s="8" t="s">
        <v>8</v>
      </c>
      <c r="F27" s="19" t="s">
        <v>14</v>
      </c>
      <c r="G27" s="19">
        <v>20</v>
      </c>
      <c r="H27" s="16" t="s">
        <v>10</v>
      </c>
      <c r="I27" s="20">
        <v>21976.175309426209</v>
      </c>
      <c r="J27" s="21">
        <v>22024.317776457556</v>
      </c>
      <c r="K27" s="13">
        <f t="shared" si="0"/>
        <v>22000.246542941881</v>
      </c>
      <c r="L27" s="20">
        <v>3833.61476624337</v>
      </c>
      <c r="M27" s="21">
        <v>4857.9186278721563</v>
      </c>
      <c r="N27" s="13">
        <f t="shared" si="1"/>
        <v>4345.7666970577629</v>
      </c>
    </row>
    <row r="28" spans="1:14" ht="16">
      <c r="A28" s="6" t="s">
        <v>17</v>
      </c>
      <c r="B28" s="14" t="s">
        <v>18</v>
      </c>
      <c r="C28" s="49">
        <v>0.05</v>
      </c>
      <c r="D28" s="8">
        <v>1</v>
      </c>
      <c r="E28" s="8" t="s">
        <v>8</v>
      </c>
      <c r="F28" s="19" t="s">
        <v>15</v>
      </c>
      <c r="G28" s="19">
        <v>100</v>
      </c>
      <c r="H28" s="16" t="s">
        <v>10</v>
      </c>
      <c r="I28" s="17">
        <v>22010.561502776749</v>
      </c>
      <c r="J28" s="18">
        <v>20285.650179001255</v>
      </c>
      <c r="K28" s="13">
        <f t="shared" si="0"/>
        <v>21148.105840889002</v>
      </c>
      <c r="L28" s="17">
        <v>6152.3100815586113</v>
      </c>
      <c r="M28" s="18">
        <v>3415.9375348369235</v>
      </c>
      <c r="N28" s="13">
        <f t="shared" si="1"/>
        <v>4784.1238081977672</v>
      </c>
    </row>
    <row r="29" spans="1:14" ht="16">
      <c r="A29" s="25" t="s">
        <v>17</v>
      </c>
      <c r="B29" s="26" t="s">
        <v>18</v>
      </c>
      <c r="C29" s="50">
        <v>0.05</v>
      </c>
      <c r="D29" s="27">
        <v>1</v>
      </c>
      <c r="E29" s="27" t="s">
        <v>8</v>
      </c>
      <c r="F29" s="28" t="s">
        <v>16</v>
      </c>
      <c r="G29" s="28" t="s">
        <v>35</v>
      </c>
      <c r="H29" s="29" t="s">
        <v>10</v>
      </c>
      <c r="I29" s="17">
        <v>523.27318317504887</v>
      </c>
      <c r="J29" s="18">
        <v>514.47901140729266</v>
      </c>
      <c r="K29" s="30">
        <f t="shared" si="0"/>
        <v>518.87609729117071</v>
      </c>
      <c r="L29" s="17">
        <v>7948.6027266592455</v>
      </c>
      <c r="M29" s="18">
        <v>7721.4940791100034</v>
      </c>
      <c r="N29" s="30">
        <f t="shared" si="1"/>
        <v>7835.048402884624</v>
      </c>
    </row>
    <row r="30" spans="1:14" ht="16">
      <c r="A30" s="6" t="s">
        <v>17</v>
      </c>
      <c r="B30" s="14" t="s">
        <v>18</v>
      </c>
      <c r="C30" s="49">
        <v>0.05</v>
      </c>
      <c r="D30" s="8">
        <v>2</v>
      </c>
      <c r="E30" s="8" t="s">
        <v>8</v>
      </c>
      <c r="F30" s="9" t="s">
        <v>9</v>
      </c>
      <c r="G30" s="9">
        <v>0</v>
      </c>
      <c r="H30" s="16" t="s">
        <v>10</v>
      </c>
      <c r="I30" s="11">
        <v>342.71875245935666</v>
      </c>
      <c r="J30" s="12">
        <v>53.094279535093463</v>
      </c>
      <c r="K30" s="13">
        <f t="shared" si="0"/>
        <v>197.90651599722506</v>
      </c>
      <c r="L30" s="11">
        <v>240.9570291064787</v>
      </c>
      <c r="M30" s="12">
        <v>158.29085296533003</v>
      </c>
      <c r="N30" s="13">
        <f t="shared" si="1"/>
        <v>199.62394103590435</v>
      </c>
    </row>
    <row r="31" spans="1:14" ht="16">
      <c r="A31" s="6" t="s">
        <v>17</v>
      </c>
      <c r="B31" s="14" t="s">
        <v>18</v>
      </c>
      <c r="C31" s="49">
        <v>0.05</v>
      </c>
      <c r="D31" s="8">
        <v>2</v>
      </c>
      <c r="E31" s="8" t="s">
        <v>8</v>
      </c>
      <c r="F31" s="15" t="s">
        <v>11</v>
      </c>
      <c r="G31" s="15">
        <v>2E-3</v>
      </c>
      <c r="H31" s="16" t="s">
        <v>10</v>
      </c>
      <c r="I31" s="17">
        <v>2949.4158466628837</v>
      </c>
      <c r="J31" s="18">
        <v>3036.1376613325529</v>
      </c>
      <c r="K31" s="13">
        <f t="shared" si="0"/>
        <v>2992.7767539977185</v>
      </c>
      <c r="L31" s="17">
        <v>1129.7385862098461</v>
      </c>
      <c r="M31" s="18">
        <v>1461.486637572423</v>
      </c>
      <c r="N31" s="13">
        <f t="shared" si="1"/>
        <v>1295.6126118911345</v>
      </c>
    </row>
    <row r="32" spans="1:14" ht="16">
      <c r="A32" s="6" t="s">
        <v>17</v>
      </c>
      <c r="B32" s="14" t="s">
        <v>18</v>
      </c>
      <c r="C32" s="49">
        <v>0.05</v>
      </c>
      <c r="D32" s="8">
        <v>2</v>
      </c>
      <c r="E32" s="8" t="s">
        <v>8</v>
      </c>
      <c r="F32" s="19" t="s">
        <v>12</v>
      </c>
      <c r="G32" s="19">
        <v>0.02</v>
      </c>
      <c r="H32" s="16" t="s">
        <v>10</v>
      </c>
      <c r="I32" s="17">
        <v>7035.4836233574952</v>
      </c>
      <c r="J32" s="18">
        <v>8535.8030237443527</v>
      </c>
      <c r="K32" s="30">
        <f t="shared" si="0"/>
        <v>7785.6433235509239</v>
      </c>
      <c r="L32" s="17">
        <v>648.13215539078749</v>
      </c>
      <c r="M32" s="18">
        <v>1461.486637572423</v>
      </c>
      <c r="N32" s="30">
        <f t="shared" si="1"/>
        <v>1054.8093964816053</v>
      </c>
    </row>
    <row r="33" spans="1:14" ht="16">
      <c r="A33" s="6" t="s">
        <v>17</v>
      </c>
      <c r="B33" s="14" t="s">
        <v>18</v>
      </c>
      <c r="C33" s="49">
        <v>0.05</v>
      </c>
      <c r="D33" s="8">
        <v>2</v>
      </c>
      <c r="E33" s="8" t="s">
        <v>8</v>
      </c>
      <c r="F33" s="19" t="s">
        <v>13</v>
      </c>
      <c r="G33" s="19">
        <v>2</v>
      </c>
      <c r="H33" s="16" t="s">
        <v>10</v>
      </c>
      <c r="I33" s="31">
        <v>13060.857217770365</v>
      </c>
      <c r="J33" s="32">
        <v>16025.470344402467</v>
      </c>
      <c r="K33" s="13">
        <f t="shared" si="0"/>
        <v>14543.163781086416</v>
      </c>
      <c r="L33" s="31">
        <v>2239.7788908851094</v>
      </c>
      <c r="M33" s="32">
        <v>3620.2744962254887</v>
      </c>
      <c r="N33" s="13">
        <f t="shared" si="1"/>
        <v>2930.0266935552991</v>
      </c>
    </row>
    <row r="34" spans="1:14" ht="16">
      <c r="A34" s="6" t="s">
        <v>17</v>
      </c>
      <c r="B34" s="14" t="s">
        <v>18</v>
      </c>
      <c r="C34" s="49">
        <v>0.05</v>
      </c>
      <c r="D34" s="8">
        <v>2</v>
      </c>
      <c r="E34" s="8" t="s">
        <v>8</v>
      </c>
      <c r="F34" s="19" t="s">
        <v>14</v>
      </c>
      <c r="G34" s="19">
        <v>20</v>
      </c>
      <c r="H34" s="16" t="s">
        <v>10</v>
      </c>
      <c r="I34" s="11">
        <v>13917.172798721063</v>
      </c>
      <c r="J34" s="12">
        <v>12307.402124219965</v>
      </c>
      <c r="K34" s="13">
        <f t="shared" si="0"/>
        <v>13112.287461470514</v>
      </c>
      <c r="L34" s="11">
        <v>5242.1346390201879</v>
      </c>
      <c r="M34" s="12">
        <v>6592.8768166482769</v>
      </c>
      <c r="N34" s="13">
        <f t="shared" si="1"/>
        <v>5917.5057278342319</v>
      </c>
    </row>
    <row r="35" spans="1:14" ht="16">
      <c r="A35" s="6" t="s">
        <v>17</v>
      </c>
      <c r="B35" s="14" t="s">
        <v>18</v>
      </c>
      <c r="C35" s="49">
        <v>0.05</v>
      </c>
      <c r="D35" s="8">
        <v>2</v>
      </c>
      <c r="E35" s="8" t="s">
        <v>8</v>
      </c>
      <c r="F35" s="19" t="s">
        <v>15</v>
      </c>
      <c r="G35" s="19">
        <v>100</v>
      </c>
      <c r="H35" s="16" t="s">
        <v>10</v>
      </c>
      <c r="I35" s="17">
        <v>7578.127899942795</v>
      </c>
      <c r="J35" s="18">
        <v>10024.579340832242</v>
      </c>
      <c r="K35" s="30">
        <f t="shared" si="0"/>
        <v>8801.3536203875192</v>
      </c>
      <c r="L35" s="17">
        <v>5950.0272418167106</v>
      </c>
      <c r="M35" s="18">
        <v>6586.1330521022746</v>
      </c>
      <c r="N35" s="30">
        <f t="shared" si="1"/>
        <v>6268.0801469594926</v>
      </c>
    </row>
    <row r="36" spans="1:14" ht="16">
      <c r="A36" s="25" t="s">
        <v>17</v>
      </c>
      <c r="B36" s="26" t="s">
        <v>18</v>
      </c>
      <c r="C36" s="50">
        <v>0.05</v>
      </c>
      <c r="D36" s="27">
        <v>2</v>
      </c>
      <c r="E36" s="27" t="s">
        <v>8</v>
      </c>
      <c r="F36" s="28" t="s">
        <v>16</v>
      </c>
      <c r="G36" s="28" t="s">
        <v>35</v>
      </c>
      <c r="H36" s="29" t="s">
        <v>10</v>
      </c>
      <c r="I36" s="31">
        <v>514.47901140729266</v>
      </c>
      <c r="J36" s="32">
        <v>702.60374232154663</v>
      </c>
      <c r="K36" s="30">
        <f t="shared" si="0"/>
        <v>608.54137686441959</v>
      </c>
      <c r="L36" s="31">
        <v>6736.7466410239567</v>
      </c>
      <c r="M36" s="32">
        <v>7568.5957910396055</v>
      </c>
      <c r="N36" s="30">
        <f t="shared" si="1"/>
        <v>7152.6712160317811</v>
      </c>
    </row>
    <row r="37" spans="1:14" ht="16">
      <c r="A37" s="6" t="s">
        <v>17</v>
      </c>
      <c r="B37" s="14" t="s">
        <v>18</v>
      </c>
      <c r="C37" s="49">
        <v>0.05</v>
      </c>
      <c r="D37" s="8">
        <v>3</v>
      </c>
      <c r="E37" s="8" t="s">
        <v>8</v>
      </c>
      <c r="F37" s="9" t="s">
        <v>9</v>
      </c>
      <c r="G37" s="9">
        <v>0</v>
      </c>
      <c r="H37" s="16" t="s">
        <v>10</v>
      </c>
      <c r="I37" s="11">
        <v>9.6225146888339577</v>
      </c>
      <c r="J37" s="12">
        <v>0</v>
      </c>
      <c r="K37" s="13">
        <f t="shared" si="0"/>
        <v>4.8112573444169788</v>
      </c>
      <c r="L37" s="11">
        <v>153.82427379926855</v>
      </c>
      <c r="M37" s="12">
        <v>6.6514621026749028</v>
      </c>
      <c r="N37" s="13">
        <f t="shared" si="1"/>
        <v>80.237867950971733</v>
      </c>
    </row>
    <row r="38" spans="1:14" ht="17" thickBot="1">
      <c r="A38" s="6" t="s">
        <v>17</v>
      </c>
      <c r="B38" s="14" t="s">
        <v>18</v>
      </c>
      <c r="C38" s="49">
        <v>0.05</v>
      </c>
      <c r="D38" s="8">
        <v>3</v>
      </c>
      <c r="E38" s="8" t="s">
        <v>8</v>
      </c>
      <c r="F38" s="15" t="s">
        <v>11</v>
      </c>
      <c r="G38" s="15">
        <v>2E-3</v>
      </c>
      <c r="H38" s="16" t="s">
        <v>10</v>
      </c>
      <c r="I38" s="40">
        <v>0</v>
      </c>
      <c r="J38" s="41">
        <v>169.39123188711301</v>
      </c>
      <c r="K38" s="39">
        <f t="shared" si="0"/>
        <v>84.695615943556504</v>
      </c>
      <c r="L38" s="40">
        <v>202.96784344660301</v>
      </c>
      <c r="M38" s="41">
        <v>265.54395864509792</v>
      </c>
      <c r="N38" s="39">
        <f t="shared" si="1"/>
        <v>234.25590104585046</v>
      </c>
    </row>
    <row r="39" spans="1:14" ht="16">
      <c r="A39" s="6" t="s">
        <v>17</v>
      </c>
      <c r="B39" s="14" t="s">
        <v>18</v>
      </c>
      <c r="C39" s="49">
        <v>0.05</v>
      </c>
      <c r="D39" s="8">
        <v>3</v>
      </c>
      <c r="E39" s="8" t="s">
        <v>8</v>
      </c>
      <c r="F39" s="19" t="s">
        <v>12</v>
      </c>
      <c r="G39" s="19">
        <v>0.02</v>
      </c>
      <c r="H39" s="16" t="s">
        <v>10</v>
      </c>
      <c r="I39" s="20">
        <v>59.842249173416832</v>
      </c>
      <c r="J39" s="21">
        <v>232.17172767276051</v>
      </c>
      <c r="K39" s="13">
        <f t="shared" si="0"/>
        <v>146.00698842308867</v>
      </c>
      <c r="L39" s="20">
        <v>813.84080267880404</v>
      </c>
      <c r="M39" s="21">
        <v>547.39857952326292</v>
      </c>
      <c r="N39" s="13">
        <f t="shared" si="1"/>
        <v>680.61969110103348</v>
      </c>
    </row>
    <row r="40" spans="1:14" ht="16">
      <c r="A40" s="6" t="s">
        <v>17</v>
      </c>
      <c r="B40" s="14" t="s">
        <v>18</v>
      </c>
      <c r="C40" s="49">
        <v>0.05</v>
      </c>
      <c r="D40" s="8">
        <v>3</v>
      </c>
      <c r="E40" s="8" t="s">
        <v>8</v>
      </c>
      <c r="F40" s="19" t="s">
        <v>13</v>
      </c>
      <c r="G40" s="19">
        <v>2</v>
      </c>
      <c r="H40" s="16" t="s">
        <v>10</v>
      </c>
      <c r="I40" s="20">
        <v>188.75333041943421</v>
      </c>
      <c r="J40" s="21">
        <v>1473.7192779796403</v>
      </c>
      <c r="K40" s="13">
        <f t="shared" si="0"/>
        <v>831.23630419953724</v>
      </c>
      <c r="L40" s="20">
        <v>1950.3765691437811</v>
      </c>
      <c r="M40" s="21">
        <v>3977.3504915103817</v>
      </c>
      <c r="N40" s="13">
        <f t="shared" si="1"/>
        <v>2963.8635303270812</v>
      </c>
    </row>
    <row r="41" spans="1:14" ht="16">
      <c r="A41" s="6" t="s">
        <v>17</v>
      </c>
      <c r="B41" s="14" t="s">
        <v>18</v>
      </c>
      <c r="C41" s="49">
        <v>0.05</v>
      </c>
      <c r="D41" s="8">
        <v>3</v>
      </c>
      <c r="E41" s="8" t="s">
        <v>8</v>
      </c>
      <c r="F41" s="19" t="s">
        <v>14</v>
      </c>
      <c r="G41" s="19">
        <v>20</v>
      </c>
      <c r="H41" s="16" t="s">
        <v>10</v>
      </c>
      <c r="I41" s="22">
        <v>1857.7070560946759</v>
      </c>
      <c r="J41" s="23">
        <v>1281.0570841224551</v>
      </c>
      <c r="K41" s="30">
        <f t="shared" si="0"/>
        <v>1569.3820701085656</v>
      </c>
      <c r="L41" s="22">
        <v>2055.8095914300457</v>
      </c>
      <c r="M41" s="23">
        <v>4255.8639750286566</v>
      </c>
      <c r="N41" s="30">
        <f t="shared" si="1"/>
        <v>3155.8367832293511</v>
      </c>
    </row>
    <row r="42" spans="1:14" ht="16">
      <c r="A42" s="6" t="s">
        <v>17</v>
      </c>
      <c r="B42" s="14" t="s">
        <v>18</v>
      </c>
      <c r="C42" s="49">
        <v>0.05</v>
      </c>
      <c r="D42" s="8">
        <v>3</v>
      </c>
      <c r="E42" s="8" t="s">
        <v>8</v>
      </c>
      <c r="F42" s="19" t="s">
        <v>15</v>
      </c>
      <c r="G42" s="19">
        <v>100</v>
      </c>
      <c r="H42" s="16" t="s">
        <v>10</v>
      </c>
      <c r="I42" s="20">
        <v>661.71687897770016</v>
      </c>
      <c r="J42" s="21">
        <v>648.15378707695243</v>
      </c>
      <c r="K42" s="13">
        <f t="shared" si="0"/>
        <v>654.93533302732635</v>
      </c>
      <c r="L42" s="20">
        <v>2607.7946786737139</v>
      </c>
      <c r="M42" s="21">
        <v>4673.693254399921</v>
      </c>
      <c r="N42" s="13">
        <f t="shared" si="1"/>
        <v>3640.7439665368174</v>
      </c>
    </row>
    <row r="43" spans="1:14" ht="17" thickBot="1">
      <c r="A43" s="2" t="s">
        <v>17</v>
      </c>
      <c r="B43" s="33" t="s">
        <v>18</v>
      </c>
      <c r="C43" s="51">
        <v>0.05</v>
      </c>
      <c r="D43" s="34">
        <v>3</v>
      </c>
      <c r="E43" s="34" t="s">
        <v>8</v>
      </c>
      <c r="F43" s="35" t="s">
        <v>16</v>
      </c>
      <c r="G43" s="28" t="s">
        <v>35</v>
      </c>
      <c r="H43" s="36" t="s">
        <v>10</v>
      </c>
      <c r="I43" s="37">
        <v>470.78160941576317</v>
      </c>
      <c r="J43" s="38">
        <v>657.19212601585207</v>
      </c>
      <c r="K43" s="39">
        <f t="shared" si="0"/>
        <v>563.98686771580765</v>
      </c>
      <c r="L43" s="37">
        <v>7213.3531191795164</v>
      </c>
      <c r="M43" s="38">
        <v>7883.3921399380406</v>
      </c>
      <c r="N43" s="39">
        <f t="shared" si="1"/>
        <v>7548.3726295587785</v>
      </c>
    </row>
    <row r="44" spans="1:14" ht="17" thickBot="1">
      <c r="A44" s="6" t="s">
        <v>19</v>
      </c>
      <c r="B44" s="7" t="s">
        <v>20</v>
      </c>
      <c r="C44" s="49">
        <v>0.5</v>
      </c>
      <c r="D44" s="8">
        <v>1</v>
      </c>
      <c r="E44" s="8" t="s">
        <v>8</v>
      </c>
      <c r="F44" s="9" t="s">
        <v>9</v>
      </c>
      <c r="G44" s="9">
        <v>0</v>
      </c>
      <c r="H44" s="16" t="s">
        <v>10</v>
      </c>
      <c r="I44" s="42">
        <v>369.2039814505444</v>
      </c>
      <c r="J44" s="43">
        <v>168.41967134144048</v>
      </c>
      <c r="K44" s="39">
        <f t="shared" si="0"/>
        <v>268.81182639599245</v>
      </c>
      <c r="L44" s="42">
        <v>277.79541900827383</v>
      </c>
      <c r="M44" s="43">
        <v>95.938371738015377</v>
      </c>
      <c r="N44" s="39">
        <f t="shared" si="1"/>
        <v>186.86689537314459</v>
      </c>
    </row>
    <row r="45" spans="1:14" ht="16">
      <c r="A45" s="6" t="s">
        <v>19</v>
      </c>
      <c r="B45" s="14" t="s">
        <v>20</v>
      </c>
      <c r="C45" s="49">
        <v>0.5</v>
      </c>
      <c r="D45" s="8">
        <v>1</v>
      </c>
      <c r="E45" s="8" t="s">
        <v>8</v>
      </c>
      <c r="F45" s="15" t="s">
        <v>11</v>
      </c>
      <c r="G45" s="15">
        <v>2E-3</v>
      </c>
      <c r="H45" s="16" t="s">
        <v>10</v>
      </c>
      <c r="I45" s="11">
        <v>7914.1286585606958</v>
      </c>
      <c r="J45" s="12">
        <v>4890.0099307155515</v>
      </c>
      <c r="K45" s="13">
        <f t="shared" si="0"/>
        <v>6402.0692946381241</v>
      </c>
      <c r="L45" s="11">
        <v>2064.222933768976</v>
      </c>
      <c r="M45" s="12">
        <v>1637.2224632880611</v>
      </c>
      <c r="N45" s="13">
        <f t="shared" si="1"/>
        <v>1850.7226985285185</v>
      </c>
    </row>
    <row r="46" spans="1:14" ht="16">
      <c r="A46" s="6" t="s">
        <v>19</v>
      </c>
      <c r="B46" s="14" t="s">
        <v>20</v>
      </c>
      <c r="C46" s="49">
        <v>0.5</v>
      </c>
      <c r="D46" s="8">
        <v>1</v>
      </c>
      <c r="E46" s="8" t="s">
        <v>8</v>
      </c>
      <c r="F46" s="19" t="s">
        <v>12</v>
      </c>
      <c r="G46" s="19">
        <v>0.02</v>
      </c>
      <c r="H46" s="16" t="s">
        <v>10</v>
      </c>
      <c r="I46" s="17">
        <v>16307.466671457471</v>
      </c>
      <c r="J46" s="18">
        <v>20031.836982932455</v>
      </c>
      <c r="K46" s="13">
        <f t="shared" si="0"/>
        <v>18169.651827194961</v>
      </c>
      <c r="L46" s="17">
        <v>2040.3287443463487</v>
      </c>
      <c r="M46" s="18">
        <v>1717.2629456525819</v>
      </c>
      <c r="N46" s="13">
        <f t="shared" si="1"/>
        <v>1878.7958449994653</v>
      </c>
    </row>
    <row r="47" spans="1:14" ht="16">
      <c r="A47" s="6" t="s">
        <v>19</v>
      </c>
      <c r="B47" s="14" t="s">
        <v>20</v>
      </c>
      <c r="C47" s="49">
        <v>0.5</v>
      </c>
      <c r="D47" s="8">
        <v>1</v>
      </c>
      <c r="E47" s="8" t="s">
        <v>8</v>
      </c>
      <c r="F47" s="19" t="s">
        <v>13</v>
      </c>
      <c r="G47" s="19">
        <v>2</v>
      </c>
      <c r="H47" s="16" t="s">
        <v>10</v>
      </c>
      <c r="I47" s="17">
        <v>18716.031199249766</v>
      </c>
      <c r="J47" s="18">
        <v>18928.35337955174</v>
      </c>
      <c r="K47" s="13">
        <f t="shared" si="0"/>
        <v>18822.192289400751</v>
      </c>
      <c r="L47" s="17">
        <v>4259.1169707691906</v>
      </c>
      <c r="M47" s="18">
        <v>5147.2369988173623</v>
      </c>
      <c r="N47" s="13">
        <f t="shared" si="1"/>
        <v>4703.1769847932765</v>
      </c>
    </row>
    <row r="48" spans="1:14" ht="16">
      <c r="A48" s="6" t="s">
        <v>19</v>
      </c>
      <c r="B48" s="14" t="s">
        <v>20</v>
      </c>
      <c r="C48" s="49">
        <v>0.5</v>
      </c>
      <c r="D48" s="8">
        <v>1</v>
      </c>
      <c r="E48" s="8" t="s">
        <v>8</v>
      </c>
      <c r="F48" s="19" t="s">
        <v>14</v>
      </c>
      <c r="G48" s="19">
        <v>20</v>
      </c>
      <c r="H48" s="16" t="s">
        <v>10</v>
      </c>
      <c r="I48" s="17">
        <v>20832.561737598811</v>
      </c>
      <c r="J48" s="18">
        <v>20662.022769136795</v>
      </c>
      <c r="K48" s="30">
        <f t="shared" si="0"/>
        <v>20747.292253367803</v>
      </c>
      <c r="L48" s="17">
        <v>4771.2469709678644</v>
      </c>
      <c r="M48" s="18">
        <v>4594.5170129514545</v>
      </c>
      <c r="N48" s="30">
        <f t="shared" si="1"/>
        <v>4682.881991959659</v>
      </c>
    </row>
    <row r="49" spans="1:14" ht="16">
      <c r="A49" s="6" t="s">
        <v>19</v>
      </c>
      <c r="B49" s="14" t="s">
        <v>20</v>
      </c>
      <c r="C49" s="49">
        <v>0.5</v>
      </c>
      <c r="D49" s="8">
        <v>1</v>
      </c>
      <c r="E49" s="8" t="s">
        <v>8</v>
      </c>
      <c r="F49" s="19" t="s">
        <v>15</v>
      </c>
      <c r="G49" s="19">
        <v>100</v>
      </c>
      <c r="H49" s="16" t="s">
        <v>10</v>
      </c>
      <c r="I49" s="11">
        <v>18778.449821021844</v>
      </c>
      <c r="J49" s="12">
        <v>19416.494856120331</v>
      </c>
      <c r="K49" s="30">
        <f t="shared" si="0"/>
        <v>19097.472338571089</v>
      </c>
      <c r="L49" s="11">
        <v>6747.7159474429818</v>
      </c>
      <c r="M49" s="12">
        <v>5184.8675905633163</v>
      </c>
      <c r="N49" s="30">
        <f t="shared" si="1"/>
        <v>5966.2917690031491</v>
      </c>
    </row>
    <row r="50" spans="1:14" ht="16">
      <c r="A50" s="25" t="s">
        <v>19</v>
      </c>
      <c r="B50" s="26" t="s">
        <v>20</v>
      </c>
      <c r="C50" s="50">
        <v>0.5</v>
      </c>
      <c r="D50" s="27">
        <v>1</v>
      </c>
      <c r="E50" s="27" t="s">
        <v>8</v>
      </c>
      <c r="F50" s="28" t="s">
        <v>16</v>
      </c>
      <c r="G50" s="28" t="s">
        <v>35</v>
      </c>
      <c r="H50" s="29" t="s">
        <v>10</v>
      </c>
      <c r="I50" s="11">
        <v>1095.6109305057082</v>
      </c>
      <c r="J50" s="12">
        <v>1294.6603296015219</v>
      </c>
      <c r="K50" s="13">
        <f t="shared" si="0"/>
        <v>1195.1356300536149</v>
      </c>
      <c r="L50" s="11">
        <v>7982.9202243066857</v>
      </c>
      <c r="M50" s="12">
        <v>6551.9148597381218</v>
      </c>
      <c r="N50" s="13">
        <f t="shared" si="1"/>
        <v>7267.4175420224037</v>
      </c>
    </row>
    <row r="51" spans="1:14" ht="16">
      <c r="A51" s="6" t="s">
        <v>19</v>
      </c>
      <c r="B51" s="14" t="s">
        <v>20</v>
      </c>
      <c r="C51" s="49">
        <v>0.5</v>
      </c>
      <c r="D51" s="8">
        <v>2</v>
      </c>
      <c r="E51" s="8" t="s">
        <v>8</v>
      </c>
      <c r="F51" s="9" t="s">
        <v>9</v>
      </c>
      <c r="G51" s="9">
        <v>0</v>
      </c>
      <c r="H51" s="16" t="s">
        <v>10</v>
      </c>
      <c r="I51" s="17">
        <v>154.09988395959127</v>
      </c>
      <c r="J51" s="18">
        <v>59.036561545194807</v>
      </c>
      <c r="K51" s="13">
        <f t="shared" si="0"/>
        <v>106.56822275239304</v>
      </c>
      <c r="L51" s="17">
        <v>7.5910010617358292</v>
      </c>
      <c r="M51" s="18">
        <v>124.58375809690487</v>
      </c>
      <c r="N51" s="13">
        <f t="shared" si="1"/>
        <v>66.087379579320356</v>
      </c>
    </row>
    <row r="52" spans="1:14" ht="16">
      <c r="A52" s="6" t="s">
        <v>19</v>
      </c>
      <c r="B52" s="14" t="s">
        <v>20</v>
      </c>
      <c r="C52" s="49">
        <v>0.5</v>
      </c>
      <c r="D52" s="8">
        <v>2</v>
      </c>
      <c r="E52" s="8" t="s">
        <v>8</v>
      </c>
      <c r="F52" s="15" t="s">
        <v>11</v>
      </c>
      <c r="G52" s="15">
        <v>2E-3</v>
      </c>
      <c r="H52" s="16" t="s">
        <v>10</v>
      </c>
      <c r="I52" s="17">
        <v>5475.3971738651671</v>
      </c>
      <c r="J52" s="18">
        <v>6806.3209228440528</v>
      </c>
      <c r="K52" s="30">
        <f t="shared" si="0"/>
        <v>6140.8590483546104</v>
      </c>
      <c r="L52" s="17">
        <v>474.97865895424303</v>
      </c>
      <c r="M52" s="18">
        <v>390.81299350110754</v>
      </c>
      <c r="N52" s="30">
        <f t="shared" si="1"/>
        <v>432.89582622767529</v>
      </c>
    </row>
    <row r="53" spans="1:14" ht="16">
      <c r="A53" s="6" t="s">
        <v>19</v>
      </c>
      <c r="B53" s="14" t="s">
        <v>20</v>
      </c>
      <c r="C53" s="49">
        <v>0.5</v>
      </c>
      <c r="D53" s="8">
        <v>2</v>
      </c>
      <c r="E53" s="8" t="s">
        <v>8</v>
      </c>
      <c r="F53" s="19" t="s">
        <v>12</v>
      </c>
      <c r="G53" s="19">
        <v>0.02</v>
      </c>
      <c r="H53" s="16" t="s">
        <v>10</v>
      </c>
      <c r="I53" s="11">
        <v>10602.84957737132</v>
      </c>
      <c r="J53" s="12">
        <v>17380.019731681048</v>
      </c>
      <c r="K53" s="13">
        <f t="shared" si="0"/>
        <v>13991.434654526183</v>
      </c>
      <c r="L53" s="11">
        <v>1238.3040060657163</v>
      </c>
      <c r="M53" s="12">
        <v>1098.7284235246825</v>
      </c>
      <c r="N53" s="13">
        <f t="shared" si="1"/>
        <v>1168.5162147951994</v>
      </c>
    </row>
    <row r="54" spans="1:14" ht="16">
      <c r="A54" s="6" t="s">
        <v>19</v>
      </c>
      <c r="B54" s="14" t="s">
        <v>20</v>
      </c>
      <c r="C54" s="49">
        <v>0.5</v>
      </c>
      <c r="D54" s="8">
        <v>2</v>
      </c>
      <c r="E54" s="8" t="s">
        <v>8</v>
      </c>
      <c r="F54" s="19" t="s">
        <v>13</v>
      </c>
      <c r="G54" s="19">
        <v>2</v>
      </c>
      <c r="H54" s="16" t="s">
        <v>10</v>
      </c>
      <c r="I54" s="17">
        <v>15590.845075212559</v>
      </c>
      <c r="J54" s="18">
        <v>18018.619020136917</v>
      </c>
      <c r="K54" s="13">
        <f t="shared" si="0"/>
        <v>16804.732047674737</v>
      </c>
      <c r="L54" s="17">
        <v>1751.8988853046671</v>
      </c>
      <c r="M54" s="18">
        <v>1862.3931168988715</v>
      </c>
      <c r="N54" s="13">
        <f t="shared" si="1"/>
        <v>1807.1460011017693</v>
      </c>
    </row>
    <row r="55" spans="1:14" ht="16">
      <c r="A55" s="6" t="s">
        <v>19</v>
      </c>
      <c r="B55" s="14" t="s">
        <v>20</v>
      </c>
      <c r="C55" s="49">
        <v>0.5</v>
      </c>
      <c r="D55" s="8">
        <v>2</v>
      </c>
      <c r="E55" s="8" t="s">
        <v>8</v>
      </c>
      <c r="F55" s="19" t="s">
        <v>14</v>
      </c>
      <c r="G55" s="19">
        <v>20</v>
      </c>
      <c r="H55" s="16" t="s">
        <v>10</v>
      </c>
      <c r="I55" s="17">
        <v>20466.42153324269</v>
      </c>
      <c r="J55" s="18">
        <v>17175.994013275988</v>
      </c>
      <c r="K55" s="13">
        <f t="shared" si="0"/>
        <v>18821.207773259339</v>
      </c>
      <c r="L55" s="17">
        <v>2730.9865509079036</v>
      </c>
      <c r="M55" s="18">
        <v>3860.4332359980685</v>
      </c>
      <c r="N55" s="13">
        <f t="shared" si="1"/>
        <v>3295.7098934529859</v>
      </c>
    </row>
    <row r="56" spans="1:14" ht="17" thickBot="1">
      <c r="A56" s="6" t="s">
        <v>19</v>
      </c>
      <c r="B56" s="14" t="s">
        <v>20</v>
      </c>
      <c r="C56" s="49">
        <v>0.5</v>
      </c>
      <c r="D56" s="8">
        <v>2</v>
      </c>
      <c r="E56" s="8" t="s">
        <v>8</v>
      </c>
      <c r="F56" s="19" t="s">
        <v>15</v>
      </c>
      <c r="G56" s="19">
        <v>100</v>
      </c>
      <c r="H56" s="16" t="s">
        <v>10</v>
      </c>
      <c r="I56" s="40">
        <v>14835.532967688645</v>
      </c>
      <c r="J56" s="41">
        <v>19529.348224845267</v>
      </c>
      <c r="K56" s="39">
        <f t="shared" si="0"/>
        <v>17182.440596266955</v>
      </c>
      <c r="L56" s="40">
        <v>3955.0750661434317</v>
      </c>
      <c r="M56" s="41">
        <v>3730.65319463685</v>
      </c>
      <c r="N56" s="39">
        <f t="shared" si="1"/>
        <v>3842.8641303901409</v>
      </c>
    </row>
    <row r="57" spans="1:14" ht="16">
      <c r="A57" s="25" t="s">
        <v>19</v>
      </c>
      <c r="B57" s="26" t="s">
        <v>20</v>
      </c>
      <c r="C57" s="50">
        <v>0.5</v>
      </c>
      <c r="D57" s="27">
        <v>2</v>
      </c>
      <c r="E57" s="27" t="s">
        <v>8</v>
      </c>
      <c r="F57" s="28" t="s">
        <v>16</v>
      </c>
      <c r="G57" s="28" t="s">
        <v>35</v>
      </c>
      <c r="H57" s="29" t="s">
        <v>10</v>
      </c>
      <c r="I57" s="11">
        <v>664.01218258598476</v>
      </c>
      <c r="J57" s="12">
        <v>605.18913688891053</v>
      </c>
      <c r="K57" s="13">
        <f t="shared" si="0"/>
        <v>634.60065973744759</v>
      </c>
      <c r="L57" s="11">
        <v>6729.9109989195513</v>
      </c>
      <c r="M57" s="12">
        <v>8195.1443589394112</v>
      </c>
      <c r="N57" s="13">
        <f t="shared" si="1"/>
        <v>7462.5276789294812</v>
      </c>
    </row>
    <row r="58" spans="1:14" ht="16">
      <c r="A58" s="6" t="s">
        <v>19</v>
      </c>
      <c r="B58" s="14" t="s">
        <v>20</v>
      </c>
      <c r="C58" s="49">
        <v>0.5</v>
      </c>
      <c r="D58" s="8">
        <v>3</v>
      </c>
      <c r="E58" s="8" t="s">
        <v>8</v>
      </c>
      <c r="F58" s="9" t="s">
        <v>9</v>
      </c>
      <c r="G58" s="9">
        <v>0</v>
      </c>
      <c r="H58" s="16" t="s">
        <v>10</v>
      </c>
      <c r="I58" s="17">
        <v>0</v>
      </c>
      <c r="J58" s="18">
        <v>0</v>
      </c>
      <c r="K58" s="13">
        <f t="shared" si="0"/>
        <v>0</v>
      </c>
      <c r="L58" s="17">
        <v>138.95940437547526</v>
      </c>
      <c r="M58" s="18">
        <v>232.00236562495601</v>
      </c>
      <c r="N58" s="13">
        <f t="shared" si="1"/>
        <v>185.48088500021564</v>
      </c>
    </row>
    <row r="59" spans="1:14" ht="16">
      <c r="A59" s="6" t="s">
        <v>19</v>
      </c>
      <c r="B59" s="14" t="s">
        <v>20</v>
      </c>
      <c r="C59" s="49">
        <v>0.5</v>
      </c>
      <c r="D59" s="8">
        <v>3</v>
      </c>
      <c r="E59" s="8" t="s">
        <v>8</v>
      </c>
      <c r="F59" s="15" t="s">
        <v>11</v>
      </c>
      <c r="G59" s="15">
        <v>2E-3</v>
      </c>
      <c r="H59" s="16" t="s">
        <v>10</v>
      </c>
      <c r="I59" s="17">
        <v>4682.48639737945</v>
      </c>
      <c r="J59" s="18">
        <v>5281.2071499742824</v>
      </c>
      <c r="K59" s="30">
        <f t="shared" si="0"/>
        <v>4981.8467736768662</v>
      </c>
      <c r="L59" s="17">
        <v>1042.9971023654164</v>
      </c>
      <c r="M59" s="18">
        <v>1440.7143333499203</v>
      </c>
      <c r="N59" s="30">
        <f t="shared" si="1"/>
        <v>1241.8557178576684</v>
      </c>
    </row>
    <row r="60" spans="1:14" ht="16">
      <c r="A60" s="6" t="s">
        <v>19</v>
      </c>
      <c r="B60" s="14" t="s">
        <v>20</v>
      </c>
      <c r="C60" s="49">
        <v>0.5</v>
      </c>
      <c r="D60" s="8">
        <v>3</v>
      </c>
      <c r="E60" s="8" t="s">
        <v>8</v>
      </c>
      <c r="F60" s="19" t="s">
        <v>12</v>
      </c>
      <c r="G60" s="19">
        <v>0.02</v>
      </c>
      <c r="H60" s="16" t="s">
        <v>10</v>
      </c>
      <c r="I60" s="17">
        <v>14987.459472838695</v>
      </c>
      <c r="J60" s="18">
        <v>8378.440770680103</v>
      </c>
      <c r="K60" s="13">
        <f t="shared" si="0"/>
        <v>11682.950121759399</v>
      </c>
      <c r="L60" s="17">
        <v>1671.8249747497025</v>
      </c>
      <c r="M60" s="18">
        <v>1498.9649601950493</v>
      </c>
      <c r="N60" s="13">
        <f t="shared" si="1"/>
        <v>1585.3949674723758</v>
      </c>
    </row>
    <row r="61" spans="1:14" ht="16">
      <c r="A61" s="6" t="s">
        <v>19</v>
      </c>
      <c r="B61" s="14" t="s">
        <v>20</v>
      </c>
      <c r="C61" s="49">
        <v>0.5</v>
      </c>
      <c r="D61" s="8">
        <v>3</v>
      </c>
      <c r="E61" s="8" t="s">
        <v>8</v>
      </c>
      <c r="F61" s="19" t="s">
        <v>13</v>
      </c>
      <c r="G61" s="19">
        <v>2</v>
      </c>
      <c r="H61" s="16" t="s">
        <v>10</v>
      </c>
      <c r="I61" s="17">
        <v>17274.880403512638</v>
      </c>
      <c r="J61" s="18">
        <v>14805.169418041982</v>
      </c>
      <c r="K61" s="13">
        <f>AVERAGE(I61:J61)</f>
        <v>16040.024910777309</v>
      </c>
      <c r="L61" s="17">
        <v>5107.3989702152157</v>
      </c>
      <c r="M61" s="18">
        <v>3708.6656313533658</v>
      </c>
      <c r="N61" s="13">
        <f>AVERAGE(L61:M61)</f>
        <v>4408.0323007842908</v>
      </c>
    </row>
    <row r="62" spans="1:14" ht="16">
      <c r="A62" s="6" t="s">
        <v>19</v>
      </c>
      <c r="B62" s="14" t="s">
        <v>20</v>
      </c>
      <c r="C62" s="49">
        <v>0.5</v>
      </c>
      <c r="D62" s="8">
        <v>3</v>
      </c>
      <c r="E62" s="8" t="s">
        <v>8</v>
      </c>
      <c r="F62" s="19" t="s">
        <v>14</v>
      </c>
      <c r="G62" s="19">
        <v>20</v>
      </c>
      <c r="H62" s="16" t="s">
        <v>10</v>
      </c>
      <c r="I62" s="17">
        <v>18628.686004764975</v>
      </c>
      <c r="J62" s="18">
        <v>19962.656510380941</v>
      </c>
      <c r="K62" s="30">
        <f t="shared" si="0"/>
        <v>19295.671257572958</v>
      </c>
      <c r="L62" s="17">
        <v>4877.3495172889843</v>
      </c>
      <c r="M62" s="18">
        <v>5058.7166728669335</v>
      </c>
      <c r="N62" s="30">
        <f t="shared" si="1"/>
        <v>4968.0330950779589</v>
      </c>
    </row>
    <row r="63" spans="1:14" ht="16">
      <c r="A63" s="6" t="s">
        <v>19</v>
      </c>
      <c r="B63" s="14" t="s">
        <v>20</v>
      </c>
      <c r="C63" s="49">
        <v>0.5</v>
      </c>
      <c r="D63" s="8">
        <v>3</v>
      </c>
      <c r="E63" s="8" t="s">
        <v>8</v>
      </c>
      <c r="F63" s="19" t="s">
        <v>15</v>
      </c>
      <c r="G63" s="19">
        <v>100</v>
      </c>
      <c r="H63" s="16" t="s">
        <v>10</v>
      </c>
      <c r="I63" s="17">
        <v>18422.990512099655</v>
      </c>
      <c r="J63" s="18">
        <v>16978.421029403864</v>
      </c>
      <c r="K63" s="13">
        <f t="shared" si="0"/>
        <v>17700.70577075176</v>
      </c>
      <c r="L63" s="17">
        <v>5985.2244044617637</v>
      </c>
      <c r="M63" s="18">
        <v>5783.2537553321781</v>
      </c>
      <c r="N63" s="13">
        <f t="shared" si="1"/>
        <v>5884.2390798969709</v>
      </c>
    </row>
    <row r="64" spans="1:14" ht="17" thickBot="1">
      <c r="A64" s="2" t="s">
        <v>19</v>
      </c>
      <c r="B64" s="33" t="s">
        <v>20</v>
      </c>
      <c r="C64" s="51">
        <v>0.5</v>
      </c>
      <c r="D64" s="34">
        <v>3</v>
      </c>
      <c r="E64" s="34" t="s">
        <v>8</v>
      </c>
      <c r="F64" s="35" t="s">
        <v>16</v>
      </c>
      <c r="G64" s="28" t="s">
        <v>35</v>
      </c>
      <c r="H64" s="36" t="s">
        <v>10</v>
      </c>
      <c r="I64" s="40">
        <v>563.574814847619</v>
      </c>
      <c r="J64" s="41">
        <v>571.86980937674502</v>
      </c>
      <c r="K64" s="39">
        <f t="shared" si="0"/>
        <v>567.72231211218195</v>
      </c>
      <c r="L64" s="40">
        <v>7741.7950285685492</v>
      </c>
      <c r="M64" s="41">
        <v>8217.4903268768685</v>
      </c>
      <c r="N64" s="39">
        <f t="shared" si="1"/>
        <v>7979.6426777227089</v>
      </c>
    </row>
    <row r="65" spans="1:14" ht="17" thickBot="1">
      <c r="A65" s="6" t="s">
        <v>21</v>
      </c>
      <c r="B65" s="7" t="s">
        <v>22</v>
      </c>
      <c r="C65" s="49">
        <v>5</v>
      </c>
      <c r="D65" s="8">
        <v>1</v>
      </c>
      <c r="E65" s="8" t="s">
        <v>8</v>
      </c>
      <c r="F65" s="9" t="s">
        <v>9</v>
      </c>
      <c r="G65" s="9">
        <v>0</v>
      </c>
      <c r="H65" s="16" t="s">
        <v>10</v>
      </c>
      <c r="I65" s="42">
        <v>0</v>
      </c>
      <c r="J65" s="43">
        <v>0</v>
      </c>
      <c r="K65" s="39">
        <f t="shared" si="0"/>
        <v>0</v>
      </c>
      <c r="L65" s="42">
        <v>409.98950500007317</v>
      </c>
      <c r="M65" s="43">
        <v>1018.0057641404642</v>
      </c>
      <c r="N65" s="39">
        <f t="shared" si="1"/>
        <v>713.9976345702687</v>
      </c>
    </row>
    <row r="66" spans="1:14" ht="16">
      <c r="A66" s="6" t="s">
        <v>21</v>
      </c>
      <c r="B66" s="14" t="s">
        <v>22</v>
      </c>
      <c r="C66" s="49">
        <v>5</v>
      </c>
      <c r="D66" s="8">
        <v>1</v>
      </c>
      <c r="E66" s="8" t="s">
        <v>8</v>
      </c>
      <c r="F66" s="15" t="s">
        <v>11</v>
      </c>
      <c r="G66" s="15">
        <v>2E-3</v>
      </c>
      <c r="H66" s="16" t="s">
        <v>10</v>
      </c>
      <c r="I66" s="11">
        <v>6956.7850090175471</v>
      </c>
      <c r="J66" s="12">
        <v>7230.3159072389935</v>
      </c>
      <c r="K66" s="13">
        <f t="shared" ref="K66:K127" si="2">AVERAGE(I66:J66)</f>
        <v>7093.5504581282703</v>
      </c>
      <c r="L66" s="11">
        <v>1585.8209923142176</v>
      </c>
      <c r="M66" s="12">
        <v>3089.6717148917733</v>
      </c>
      <c r="N66" s="13">
        <f t="shared" ref="N66:N127" si="3">AVERAGE(L66:M66)</f>
        <v>2337.7463536029954</v>
      </c>
    </row>
    <row r="67" spans="1:14" ht="16">
      <c r="A67" s="6" t="s">
        <v>21</v>
      </c>
      <c r="B67" s="14" t="s">
        <v>22</v>
      </c>
      <c r="C67" s="49">
        <v>5</v>
      </c>
      <c r="D67" s="8">
        <v>1</v>
      </c>
      <c r="E67" s="8" t="s">
        <v>8</v>
      </c>
      <c r="F67" s="19" t="s">
        <v>12</v>
      </c>
      <c r="G67" s="19">
        <v>0.02</v>
      </c>
      <c r="H67" s="16" t="s">
        <v>10</v>
      </c>
      <c r="I67" s="17">
        <v>17562.203283609408</v>
      </c>
      <c r="J67" s="18">
        <v>14819.430482964419</v>
      </c>
      <c r="K67" s="13">
        <f t="shared" si="2"/>
        <v>16190.816883286912</v>
      </c>
      <c r="L67" s="17">
        <v>4565.5704256603058</v>
      </c>
      <c r="M67" s="18">
        <v>5576.3436227474376</v>
      </c>
      <c r="N67" s="13">
        <f t="shared" si="3"/>
        <v>5070.9570242038717</v>
      </c>
    </row>
    <row r="68" spans="1:14" ht="16">
      <c r="A68" s="6" t="s">
        <v>21</v>
      </c>
      <c r="B68" s="14" t="s">
        <v>22</v>
      </c>
      <c r="C68" s="49">
        <v>5</v>
      </c>
      <c r="D68" s="8">
        <v>1</v>
      </c>
      <c r="E68" s="8" t="s">
        <v>8</v>
      </c>
      <c r="F68" s="19" t="s">
        <v>13</v>
      </c>
      <c r="G68" s="19">
        <v>2</v>
      </c>
      <c r="H68" s="16" t="s">
        <v>10</v>
      </c>
      <c r="I68" s="17">
        <v>17654.241909152806</v>
      </c>
      <c r="J68" s="18">
        <v>14351.482500344597</v>
      </c>
      <c r="K68" s="30">
        <f t="shared" si="2"/>
        <v>16002.862204748701</v>
      </c>
      <c r="L68" s="17">
        <v>7078.5512256956627</v>
      </c>
      <c r="M68" s="18">
        <v>7192.7367881792343</v>
      </c>
      <c r="N68" s="30">
        <f t="shared" si="3"/>
        <v>7135.6440069374485</v>
      </c>
    </row>
    <row r="69" spans="1:14" ht="16">
      <c r="A69" s="6" t="s">
        <v>21</v>
      </c>
      <c r="B69" s="14" t="s">
        <v>22</v>
      </c>
      <c r="C69" s="49">
        <v>5</v>
      </c>
      <c r="D69" s="8">
        <v>1</v>
      </c>
      <c r="E69" s="8" t="s">
        <v>8</v>
      </c>
      <c r="F69" s="19" t="s">
        <v>14</v>
      </c>
      <c r="G69" s="19">
        <v>20</v>
      </c>
      <c r="H69" s="16" t="s">
        <v>10</v>
      </c>
      <c r="I69" s="17">
        <v>19534.880483780988</v>
      </c>
      <c r="J69" s="18">
        <v>19394.954805940022</v>
      </c>
      <c r="K69" s="13">
        <f t="shared" si="2"/>
        <v>19464.917644860507</v>
      </c>
      <c r="L69" s="17">
        <v>7685.7979685903792</v>
      </c>
      <c r="M69" s="18">
        <v>7588.4086650451645</v>
      </c>
      <c r="N69" s="13">
        <f t="shared" si="3"/>
        <v>7637.1033168177719</v>
      </c>
    </row>
    <row r="70" spans="1:14" ht="16">
      <c r="A70" s="6" t="s">
        <v>21</v>
      </c>
      <c r="B70" s="14" t="s">
        <v>22</v>
      </c>
      <c r="C70" s="49">
        <v>5</v>
      </c>
      <c r="D70" s="8">
        <v>1</v>
      </c>
      <c r="E70" s="8" t="s">
        <v>8</v>
      </c>
      <c r="F70" s="19" t="s">
        <v>15</v>
      </c>
      <c r="G70" s="19">
        <v>100</v>
      </c>
      <c r="H70" s="16" t="s">
        <v>10</v>
      </c>
      <c r="I70" s="17">
        <v>18975.991807615908</v>
      </c>
      <c r="J70" s="18">
        <v>19588.22091643585</v>
      </c>
      <c r="K70" s="13">
        <f t="shared" si="2"/>
        <v>19282.106362025879</v>
      </c>
      <c r="L70" s="17">
        <v>7704.8550296321364</v>
      </c>
      <c r="M70" s="18">
        <v>7857.3421833687698</v>
      </c>
      <c r="N70" s="13">
        <f t="shared" si="3"/>
        <v>7781.0986065004527</v>
      </c>
    </row>
    <row r="71" spans="1:14" ht="16">
      <c r="A71" s="25" t="s">
        <v>21</v>
      </c>
      <c r="B71" s="26" t="s">
        <v>22</v>
      </c>
      <c r="C71" s="50">
        <v>5</v>
      </c>
      <c r="D71" s="27">
        <v>1</v>
      </c>
      <c r="E71" s="27" t="s">
        <v>8</v>
      </c>
      <c r="F71" s="28" t="s">
        <v>16</v>
      </c>
      <c r="G71" s="28" t="s">
        <v>35</v>
      </c>
      <c r="H71" s="29" t="s">
        <v>10</v>
      </c>
      <c r="I71" s="17">
        <v>792.69494552057756</v>
      </c>
      <c r="J71" s="18">
        <v>647.11914036344194</v>
      </c>
      <c r="K71" s="30">
        <f t="shared" si="2"/>
        <v>719.90704294200975</v>
      </c>
      <c r="L71" s="17">
        <v>7567.2400723201508</v>
      </c>
      <c r="M71" s="18">
        <v>7569.356883221566</v>
      </c>
      <c r="N71" s="30">
        <f t="shared" si="3"/>
        <v>7568.2984777708589</v>
      </c>
    </row>
    <row r="72" spans="1:14" ht="16">
      <c r="A72" s="6" t="s">
        <v>21</v>
      </c>
      <c r="B72" s="14" t="s">
        <v>22</v>
      </c>
      <c r="C72" s="49">
        <v>5</v>
      </c>
      <c r="D72" s="8">
        <v>2</v>
      </c>
      <c r="E72" s="8" t="s">
        <v>8</v>
      </c>
      <c r="F72" s="9" t="s">
        <v>9</v>
      </c>
      <c r="G72" s="9">
        <v>0</v>
      </c>
      <c r="H72" s="16" t="s">
        <v>10</v>
      </c>
      <c r="I72" s="17">
        <v>0</v>
      </c>
      <c r="J72" s="18">
        <v>489.52876879484984</v>
      </c>
      <c r="K72" s="13">
        <f t="shared" si="2"/>
        <v>244.76438439742492</v>
      </c>
      <c r="L72" s="17">
        <v>718.86618486858174</v>
      </c>
      <c r="M72" s="18">
        <v>188.51670539909074</v>
      </c>
      <c r="N72" s="13">
        <f t="shared" si="3"/>
        <v>453.69144513383623</v>
      </c>
    </row>
    <row r="73" spans="1:14" ht="16">
      <c r="A73" s="6" t="s">
        <v>21</v>
      </c>
      <c r="B73" s="14" t="s">
        <v>22</v>
      </c>
      <c r="C73" s="49">
        <v>5</v>
      </c>
      <c r="D73" s="8">
        <v>2</v>
      </c>
      <c r="E73" s="8" t="s">
        <v>8</v>
      </c>
      <c r="F73" s="15" t="s">
        <v>11</v>
      </c>
      <c r="G73" s="15">
        <v>2E-3</v>
      </c>
      <c r="H73" s="16" t="s">
        <v>10</v>
      </c>
      <c r="I73" s="17">
        <v>3056.8059680930969</v>
      </c>
      <c r="J73" s="18">
        <v>2406.6665039998647</v>
      </c>
      <c r="K73" s="30">
        <f t="shared" si="2"/>
        <v>2731.7362360464808</v>
      </c>
      <c r="L73" s="17">
        <v>751.33007185076713</v>
      </c>
      <c r="M73" s="18">
        <v>595.352778430277</v>
      </c>
      <c r="N73" s="30">
        <f t="shared" si="3"/>
        <v>673.34142514052201</v>
      </c>
    </row>
    <row r="74" spans="1:14" ht="17" thickBot="1">
      <c r="A74" s="6" t="s">
        <v>21</v>
      </c>
      <c r="B74" s="14" t="s">
        <v>22</v>
      </c>
      <c r="C74" s="49">
        <v>5</v>
      </c>
      <c r="D74" s="8">
        <v>2</v>
      </c>
      <c r="E74" s="8" t="s">
        <v>8</v>
      </c>
      <c r="F74" s="19" t="s">
        <v>12</v>
      </c>
      <c r="G74" s="19">
        <v>0.02</v>
      </c>
      <c r="H74" s="16" t="s">
        <v>10</v>
      </c>
      <c r="I74" s="42">
        <v>3571.7647241248778</v>
      </c>
      <c r="J74" s="43">
        <v>5985.4018969741601</v>
      </c>
      <c r="K74" s="39">
        <f t="shared" si="2"/>
        <v>4778.5833105495185</v>
      </c>
      <c r="L74" s="42">
        <v>2420.4908432041657</v>
      </c>
      <c r="M74" s="43">
        <v>2391.4662430336698</v>
      </c>
      <c r="N74" s="39">
        <f t="shared" si="3"/>
        <v>2405.9785431189175</v>
      </c>
    </row>
    <row r="75" spans="1:14" ht="16">
      <c r="A75" s="6" t="s">
        <v>21</v>
      </c>
      <c r="B75" s="14" t="s">
        <v>22</v>
      </c>
      <c r="C75" s="49">
        <v>5</v>
      </c>
      <c r="D75" s="8">
        <v>2</v>
      </c>
      <c r="E75" s="8" t="s">
        <v>8</v>
      </c>
      <c r="F75" s="19" t="s">
        <v>13</v>
      </c>
      <c r="G75" s="19">
        <v>2</v>
      </c>
      <c r="H75" s="16" t="s">
        <v>10</v>
      </c>
      <c r="I75" s="11">
        <v>5470.7840350623983</v>
      </c>
      <c r="J75" s="12">
        <v>12953.751449668733</v>
      </c>
      <c r="K75" s="13">
        <f t="shared" si="2"/>
        <v>9212.2677423655659</v>
      </c>
      <c r="L75" s="11">
        <v>3404.4305063847482</v>
      </c>
      <c r="M75" s="12">
        <v>4148.5334385910755</v>
      </c>
      <c r="N75" s="13">
        <f t="shared" si="3"/>
        <v>3776.4819724879117</v>
      </c>
    </row>
    <row r="76" spans="1:14" ht="16">
      <c r="A76" s="6" t="s">
        <v>21</v>
      </c>
      <c r="B76" s="14" t="s">
        <v>22</v>
      </c>
      <c r="C76" s="49">
        <v>5</v>
      </c>
      <c r="D76" s="8">
        <v>2</v>
      </c>
      <c r="E76" s="8" t="s">
        <v>8</v>
      </c>
      <c r="F76" s="19" t="s">
        <v>14</v>
      </c>
      <c r="G76" s="19">
        <v>20</v>
      </c>
      <c r="H76" s="16" t="s">
        <v>10</v>
      </c>
      <c r="I76" s="17">
        <v>11265.804538567007</v>
      </c>
      <c r="J76" s="18">
        <v>3020.4433466782352</v>
      </c>
      <c r="K76" s="13">
        <f t="shared" si="2"/>
        <v>7143.1239426226211</v>
      </c>
      <c r="L76" s="17">
        <v>7368.3082965649101</v>
      </c>
      <c r="M76" s="18">
        <v>7916.6573265006691</v>
      </c>
      <c r="N76" s="13">
        <f t="shared" si="3"/>
        <v>7642.4828115327891</v>
      </c>
    </row>
    <row r="77" spans="1:14" ht="16">
      <c r="A77" s="6" t="s">
        <v>21</v>
      </c>
      <c r="B77" s="14" t="s">
        <v>22</v>
      </c>
      <c r="C77" s="49">
        <v>5</v>
      </c>
      <c r="D77" s="8">
        <v>2</v>
      </c>
      <c r="E77" s="8" t="s">
        <v>8</v>
      </c>
      <c r="F77" s="19" t="s">
        <v>15</v>
      </c>
      <c r="G77" s="19">
        <v>100</v>
      </c>
      <c r="H77" s="16" t="s">
        <v>10</v>
      </c>
      <c r="I77" s="17">
        <v>10446.355187491403</v>
      </c>
      <c r="J77" s="18">
        <v>12613.661906303778</v>
      </c>
      <c r="K77" s="30">
        <f t="shared" si="2"/>
        <v>11530.00854689759</v>
      </c>
      <c r="L77" s="17">
        <v>7277.3399574223977</v>
      </c>
      <c r="M77" s="18">
        <v>7730.2657763901598</v>
      </c>
      <c r="N77" s="30">
        <f t="shared" si="3"/>
        <v>7503.8028669062787</v>
      </c>
    </row>
    <row r="78" spans="1:14" ht="16">
      <c r="A78" s="25" t="s">
        <v>21</v>
      </c>
      <c r="B78" s="26" t="s">
        <v>22</v>
      </c>
      <c r="C78" s="50">
        <v>5</v>
      </c>
      <c r="D78" s="27">
        <v>2</v>
      </c>
      <c r="E78" s="27" t="s">
        <v>8</v>
      </c>
      <c r="F78" s="28" t="s">
        <v>16</v>
      </c>
      <c r="G78" s="28" t="s">
        <v>35</v>
      </c>
      <c r="H78" s="29" t="s">
        <v>10</v>
      </c>
      <c r="I78" s="17">
        <v>315.4277984418606</v>
      </c>
      <c r="J78" s="18">
        <v>393.29516087133572</v>
      </c>
      <c r="K78" s="13">
        <f t="shared" si="2"/>
        <v>354.36147965659814</v>
      </c>
      <c r="L78" s="17">
        <v>7017.2431266558233</v>
      </c>
      <c r="M78" s="18">
        <v>7008.7875989996028</v>
      </c>
      <c r="N78" s="13">
        <f t="shared" si="3"/>
        <v>7013.015362827713</v>
      </c>
    </row>
    <row r="79" spans="1:14" ht="16">
      <c r="A79" s="6" t="s">
        <v>21</v>
      </c>
      <c r="B79" s="14" t="s">
        <v>22</v>
      </c>
      <c r="C79" s="49">
        <v>5</v>
      </c>
      <c r="D79" s="8">
        <v>3</v>
      </c>
      <c r="E79" s="8" t="s">
        <v>8</v>
      </c>
      <c r="F79" s="9" t="s">
        <v>9</v>
      </c>
      <c r="G79" s="9">
        <v>0</v>
      </c>
      <c r="H79" s="16" t="s">
        <v>10</v>
      </c>
      <c r="I79" s="17">
        <v>0</v>
      </c>
      <c r="J79" s="18">
        <v>0</v>
      </c>
      <c r="K79" s="13">
        <f t="shared" si="2"/>
        <v>0</v>
      </c>
      <c r="L79" s="17">
        <v>125.39315290102854</v>
      </c>
      <c r="M79" s="18">
        <v>367.87101789173329</v>
      </c>
      <c r="N79" s="13">
        <f t="shared" si="3"/>
        <v>246.63208539638092</v>
      </c>
    </row>
    <row r="80" spans="1:14" ht="16">
      <c r="A80" s="6" t="s">
        <v>21</v>
      </c>
      <c r="B80" s="14" t="s">
        <v>22</v>
      </c>
      <c r="C80" s="49">
        <v>5</v>
      </c>
      <c r="D80" s="8">
        <v>3</v>
      </c>
      <c r="E80" s="8" t="s">
        <v>8</v>
      </c>
      <c r="F80" s="15" t="s">
        <v>11</v>
      </c>
      <c r="G80" s="15">
        <v>2E-3</v>
      </c>
      <c r="H80" s="16" t="s">
        <v>10</v>
      </c>
      <c r="I80" s="17">
        <v>377.54064574616746</v>
      </c>
      <c r="J80" s="18">
        <v>425.05698413831959</v>
      </c>
      <c r="K80" s="30">
        <f t="shared" si="2"/>
        <v>401.29881494224355</v>
      </c>
      <c r="L80" s="17">
        <v>347.84478479221212</v>
      </c>
      <c r="M80" s="18">
        <v>119.50122455663465</v>
      </c>
      <c r="N80" s="30">
        <f t="shared" si="3"/>
        <v>233.6730046744234</v>
      </c>
    </row>
    <row r="81" spans="1:14" ht="16">
      <c r="A81" s="6" t="s">
        <v>21</v>
      </c>
      <c r="B81" s="14" t="s">
        <v>22</v>
      </c>
      <c r="C81" s="49">
        <v>5</v>
      </c>
      <c r="D81" s="8">
        <v>3</v>
      </c>
      <c r="E81" s="8" t="s">
        <v>8</v>
      </c>
      <c r="F81" s="19" t="s">
        <v>12</v>
      </c>
      <c r="G81" s="19">
        <v>0.02</v>
      </c>
      <c r="H81" s="16" t="s">
        <v>10</v>
      </c>
      <c r="I81" s="17">
        <v>2747.0655518122808</v>
      </c>
      <c r="J81" s="18">
        <v>5951.2819171556148</v>
      </c>
      <c r="K81" s="13">
        <f t="shared" si="2"/>
        <v>4349.1737344839476</v>
      </c>
      <c r="L81" s="17">
        <v>757.4199232927001</v>
      </c>
      <c r="M81" s="18">
        <v>708.72662592217512</v>
      </c>
      <c r="N81" s="13">
        <f t="shared" si="3"/>
        <v>733.07327460743761</v>
      </c>
    </row>
    <row r="82" spans="1:14" ht="16">
      <c r="A82" s="6" t="s">
        <v>21</v>
      </c>
      <c r="B82" s="14" t="s">
        <v>22</v>
      </c>
      <c r="C82" s="49">
        <v>5</v>
      </c>
      <c r="D82" s="8">
        <v>3</v>
      </c>
      <c r="E82" s="8" t="s">
        <v>8</v>
      </c>
      <c r="F82" s="19" t="s">
        <v>13</v>
      </c>
      <c r="G82" s="19">
        <v>2</v>
      </c>
      <c r="H82" s="16" t="s">
        <v>10</v>
      </c>
      <c r="I82" s="17">
        <v>5656.6850149099992</v>
      </c>
      <c r="J82" s="18">
        <v>4281.2857617496384</v>
      </c>
      <c r="K82" s="13">
        <f t="shared" si="2"/>
        <v>4968.9853883298183</v>
      </c>
      <c r="L82" s="17">
        <v>1853.6907560074033</v>
      </c>
      <c r="M82" s="18">
        <v>1878.4543708307506</v>
      </c>
      <c r="N82" s="13">
        <f t="shared" si="3"/>
        <v>1866.0725634190769</v>
      </c>
    </row>
    <row r="83" spans="1:14" ht="17" thickBot="1">
      <c r="A83" s="6" t="s">
        <v>21</v>
      </c>
      <c r="B83" s="14" t="s">
        <v>22</v>
      </c>
      <c r="C83" s="49">
        <v>5</v>
      </c>
      <c r="D83" s="8">
        <v>3</v>
      </c>
      <c r="E83" s="8" t="s">
        <v>8</v>
      </c>
      <c r="F83" s="19" t="s">
        <v>14</v>
      </c>
      <c r="G83" s="19">
        <v>20</v>
      </c>
      <c r="H83" s="16" t="s">
        <v>10</v>
      </c>
      <c r="I83" s="40">
        <v>6013.8551501649536</v>
      </c>
      <c r="J83" s="41">
        <v>10440.225626831576</v>
      </c>
      <c r="K83" s="39">
        <f t="shared" si="2"/>
        <v>8227.0403884982643</v>
      </c>
      <c r="L83" s="40">
        <v>4850.9836211335878</v>
      </c>
      <c r="M83" s="41">
        <v>3563.0557193247055</v>
      </c>
      <c r="N83" s="39">
        <f t="shared" si="3"/>
        <v>4207.0196702291469</v>
      </c>
    </row>
    <row r="84" spans="1:14" ht="16">
      <c r="A84" s="6" t="s">
        <v>21</v>
      </c>
      <c r="B84" s="14" t="s">
        <v>22</v>
      </c>
      <c r="C84" s="49">
        <v>5</v>
      </c>
      <c r="D84" s="8">
        <v>3</v>
      </c>
      <c r="E84" s="8" t="s">
        <v>8</v>
      </c>
      <c r="F84" s="19" t="s">
        <v>15</v>
      </c>
      <c r="G84" s="19">
        <v>100</v>
      </c>
      <c r="H84" s="16" t="s">
        <v>10</v>
      </c>
      <c r="I84" s="11">
        <v>6661.5989558162155</v>
      </c>
      <c r="J84" s="12">
        <v>7988.125992800733</v>
      </c>
      <c r="K84" s="13">
        <f t="shared" si="2"/>
        <v>7324.8624743084747</v>
      </c>
      <c r="L84" s="11">
        <v>6307.646550277047</v>
      </c>
      <c r="M84" s="12">
        <v>5900.696380735023</v>
      </c>
      <c r="N84" s="13">
        <f t="shared" si="3"/>
        <v>6104.171465506035</v>
      </c>
    </row>
    <row r="85" spans="1:14" ht="17" thickBot="1">
      <c r="A85" s="2" t="s">
        <v>21</v>
      </c>
      <c r="B85" s="33" t="s">
        <v>22</v>
      </c>
      <c r="C85" s="51">
        <v>5</v>
      </c>
      <c r="D85" s="34">
        <v>3</v>
      </c>
      <c r="E85" s="34" t="s">
        <v>8</v>
      </c>
      <c r="F85" s="35" t="s">
        <v>16</v>
      </c>
      <c r="G85" s="28" t="s">
        <v>35</v>
      </c>
      <c r="H85" s="36" t="s">
        <v>10</v>
      </c>
      <c r="I85" s="40">
        <v>315.4277984418606</v>
      </c>
      <c r="J85" s="41">
        <v>493.59799122987994</v>
      </c>
      <c r="K85" s="39">
        <f t="shared" si="2"/>
        <v>404.51289483587027</v>
      </c>
      <c r="L85" s="40">
        <v>6322.4155625249814</v>
      </c>
      <c r="M85" s="41">
        <v>7122.952774593462</v>
      </c>
      <c r="N85" s="39">
        <f t="shared" si="3"/>
        <v>6722.6841685592217</v>
      </c>
    </row>
    <row r="86" spans="1:14" ht="16">
      <c r="A86" s="6" t="s">
        <v>23</v>
      </c>
      <c r="B86" s="7" t="s">
        <v>24</v>
      </c>
      <c r="C86" s="49">
        <v>50</v>
      </c>
      <c r="D86" s="8">
        <v>1</v>
      </c>
      <c r="E86" s="8" t="s">
        <v>8</v>
      </c>
      <c r="F86" s="9" t="s">
        <v>9</v>
      </c>
      <c r="G86" s="9">
        <v>0</v>
      </c>
      <c r="H86" s="16" t="s">
        <v>10</v>
      </c>
      <c r="I86" s="11">
        <v>302.09549464848362</v>
      </c>
      <c r="J86" s="12">
        <v>20.857643631469927</v>
      </c>
      <c r="K86" s="30">
        <f t="shared" si="2"/>
        <v>161.47656913997679</v>
      </c>
      <c r="L86" s="11">
        <v>717.70046079556505</v>
      </c>
      <c r="M86" s="12">
        <v>206.97686795553264</v>
      </c>
      <c r="N86" s="30">
        <f t="shared" si="3"/>
        <v>462.33866437554883</v>
      </c>
    </row>
    <row r="87" spans="1:14" ht="16">
      <c r="A87" s="6" t="s">
        <v>23</v>
      </c>
      <c r="B87" s="14" t="s">
        <v>24</v>
      </c>
      <c r="C87" s="49">
        <v>50</v>
      </c>
      <c r="D87" s="8">
        <v>1</v>
      </c>
      <c r="E87" s="8" t="s">
        <v>8</v>
      </c>
      <c r="F87" s="15" t="s">
        <v>11</v>
      </c>
      <c r="G87" s="15">
        <v>2E-3</v>
      </c>
      <c r="H87" s="16" t="s">
        <v>10</v>
      </c>
      <c r="I87" s="17">
        <v>412.40556405247287</v>
      </c>
      <c r="J87" s="18">
        <v>1141.2499834812968</v>
      </c>
      <c r="K87" s="13">
        <f t="shared" si="2"/>
        <v>776.82777376688477</v>
      </c>
      <c r="L87" s="17">
        <v>736.01162226634835</v>
      </c>
      <c r="M87" s="18">
        <v>2443.8541536336024</v>
      </c>
      <c r="N87" s="13">
        <f t="shared" si="3"/>
        <v>1589.9328879499753</v>
      </c>
    </row>
    <row r="88" spans="1:14" ht="16">
      <c r="A88" s="6" t="s">
        <v>23</v>
      </c>
      <c r="B88" s="14" t="s">
        <v>24</v>
      </c>
      <c r="C88" s="49">
        <v>50</v>
      </c>
      <c r="D88" s="8">
        <v>1</v>
      </c>
      <c r="E88" s="8" t="s">
        <v>8</v>
      </c>
      <c r="F88" s="19" t="s">
        <v>12</v>
      </c>
      <c r="G88" s="19">
        <v>0.02</v>
      </c>
      <c r="H88" s="16" t="s">
        <v>10</v>
      </c>
      <c r="I88" s="17">
        <v>811.79817556058526</v>
      </c>
      <c r="J88" s="18">
        <v>4913.7039628629391</v>
      </c>
      <c r="K88" s="13">
        <f t="shared" si="2"/>
        <v>2862.7510692117621</v>
      </c>
      <c r="L88" s="17">
        <v>3860.3406972000867</v>
      </c>
      <c r="M88" s="18">
        <v>4579.4822600529551</v>
      </c>
      <c r="N88" s="13">
        <f t="shared" si="3"/>
        <v>4219.9114786265209</v>
      </c>
    </row>
    <row r="89" spans="1:14" ht="16">
      <c r="A89" s="6" t="s">
        <v>23</v>
      </c>
      <c r="B89" s="14" t="s">
        <v>24</v>
      </c>
      <c r="C89" s="49">
        <v>50</v>
      </c>
      <c r="D89" s="8">
        <v>1</v>
      </c>
      <c r="E89" s="8" t="s">
        <v>8</v>
      </c>
      <c r="F89" s="19" t="s">
        <v>13</v>
      </c>
      <c r="G89" s="19">
        <v>2</v>
      </c>
      <c r="H89" s="16" t="s">
        <v>10</v>
      </c>
      <c r="I89" s="17">
        <v>6642.0398590981076</v>
      </c>
      <c r="J89" s="18">
        <v>9201.6900685511646</v>
      </c>
      <c r="K89" s="30">
        <f t="shared" si="2"/>
        <v>7921.8649638246361</v>
      </c>
      <c r="L89" s="17">
        <v>8041.6718167370855</v>
      </c>
      <c r="M89" s="18">
        <v>8643.3096447125445</v>
      </c>
      <c r="N89" s="30">
        <f t="shared" si="3"/>
        <v>8342.4907307248141</v>
      </c>
    </row>
    <row r="90" spans="1:14" ht="16">
      <c r="A90" s="6" t="s">
        <v>23</v>
      </c>
      <c r="B90" s="14" t="s">
        <v>24</v>
      </c>
      <c r="C90" s="49">
        <v>50</v>
      </c>
      <c r="D90" s="8">
        <v>1</v>
      </c>
      <c r="E90" s="8" t="s">
        <v>8</v>
      </c>
      <c r="F90" s="19" t="s">
        <v>14</v>
      </c>
      <c r="G90" s="19">
        <v>20</v>
      </c>
      <c r="H90" s="16" t="s">
        <v>10</v>
      </c>
      <c r="I90" s="17">
        <v>16807.805470245614</v>
      </c>
      <c r="J90" s="18">
        <v>11846.551575390067</v>
      </c>
      <c r="K90" s="13">
        <f t="shared" si="2"/>
        <v>14327.178522817841</v>
      </c>
      <c r="L90" s="17">
        <v>13335.414007308153</v>
      </c>
      <c r="M90" s="18">
        <v>16450.592166576007</v>
      </c>
      <c r="N90" s="13">
        <f t="shared" si="3"/>
        <v>14893.003086942081</v>
      </c>
    </row>
    <row r="91" spans="1:14" ht="16">
      <c r="A91" s="6" t="s">
        <v>23</v>
      </c>
      <c r="B91" s="14" t="s">
        <v>24</v>
      </c>
      <c r="C91" s="49">
        <v>50</v>
      </c>
      <c r="D91" s="8">
        <v>1</v>
      </c>
      <c r="E91" s="8" t="s">
        <v>8</v>
      </c>
      <c r="F91" s="19" t="s">
        <v>15</v>
      </c>
      <c r="G91" s="19">
        <v>100</v>
      </c>
      <c r="H91" s="16" t="s">
        <v>10</v>
      </c>
      <c r="I91" s="17">
        <v>12876.749451955646</v>
      </c>
      <c r="J91" s="18">
        <v>13937.766722597977</v>
      </c>
      <c r="K91" s="13">
        <f t="shared" si="2"/>
        <v>13407.258087276812</v>
      </c>
      <c r="L91" s="17">
        <v>15114.908610376853</v>
      </c>
      <c r="M91" s="18">
        <v>17693.288882998764</v>
      </c>
      <c r="N91" s="13">
        <f t="shared" si="3"/>
        <v>16404.098746687807</v>
      </c>
    </row>
    <row r="92" spans="1:14" ht="17" thickBot="1">
      <c r="A92" s="25" t="s">
        <v>23</v>
      </c>
      <c r="B92" s="26" t="s">
        <v>24</v>
      </c>
      <c r="C92" s="50">
        <v>50</v>
      </c>
      <c r="D92" s="27">
        <v>1</v>
      </c>
      <c r="E92" s="27" t="s">
        <v>8</v>
      </c>
      <c r="F92" s="28" t="s">
        <v>16</v>
      </c>
      <c r="G92" s="28" t="s">
        <v>35</v>
      </c>
      <c r="H92" s="29" t="s">
        <v>10</v>
      </c>
      <c r="I92" s="40">
        <v>308.83194440554001</v>
      </c>
      <c r="J92" s="41">
        <v>811.79817556058526</v>
      </c>
      <c r="K92" s="39">
        <f t="shared" si="2"/>
        <v>560.31505998306261</v>
      </c>
      <c r="L92" s="40">
        <v>15799.045732174109</v>
      </c>
      <c r="M92" s="41">
        <v>16703.764501538171</v>
      </c>
      <c r="N92" s="39">
        <f t="shared" si="3"/>
        <v>16251.40511685614</v>
      </c>
    </row>
    <row r="93" spans="1:14" ht="16">
      <c r="A93" s="6" t="s">
        <v>23</v>
      </c>
      <c r="B93" s="14" t="s">
        <v>24</v>
      </c>
      <c r="C93" s="49">
        <v>50</v>
      </c>
      <c r="D93" s="8">
        <v>2</v>
      </c>
      <c r="E93" s="8" t="s">
        <v>8</v>
      </c>
      <c r="F93" s="9" t="s">
        <v>9</v>
      </c>
      <c r="G93" s="9">
        <v>0</v>
      </c>
      <c r="H93" s="16" t="s">
        <v>10</v>
      </c>
      <c r="I93" s="11">
        <v>229.58690354224518</v>
      </c>
      <c r="J93" s="12">
        <v>1124.7970409010959</v>
      </c>
      <c r="K93" s="13">
        <f t="shared" si="2"/>
        <v>677.19197222167054</v>
      </c>
      <c r="L93" s="11">
        <v>2397.653899099093</v>
      </c>
      <c r="M93" s="12">
        <v>1052.3663620517209</v>
      </c>
      <c r="N93" s="13">
        <f t="shared" si="3"/>
        <v>1725.0101305754069</v>
      </c>
    </row>
    <row r="94" spans="1:14" ht="16">
      <c r="A94" s="6" t="s">
        <v>23</v>
      </c>
      <c r="B94" s="14" t="s">
        <v>24</v>
      </c>
      <c r="C94" s="49">
        <v>50</v>
      </c>
      <c r="D94" s="8">
        <v>2</v>
      </c>
      <c r="E94" s="8" t="s">
        <v>8</v>
      </c>
      <c r="F94" s="15" t="s">
        <v>11</v>
      </c>
      <c r="G94" s="15">
        <v>2E-3</v>
      </c>
      <c r="H94" s="16" t="s">
        <v>10</v>
      </c>
      <c r="I94" s="17">
        <v>1253.2376499618092</v>
      </c>
      <c r="J94" s="18">
        <v>2446.2043539453311</v>
      </c>
      <c r="K94" s="13">
        <f t="shared" si="2"/>
        <v>1849.7210019535701</v>
      </c>
      <c r="L94" s="17">
        <v>1553.5496387310534</v>
      </c>
      <c r="M94" s="18">
        <v>2721.1915982864316</v>
      </c>
      <c r="N94" s="13">
        <f t="shared" si="3"/>
        <v>2137.3706185087426</v>
      </c>
    </row>
    <row r="95" spans="1:14" ht="16">
      <c r="A95" s="6" t="s">
        <v>23</v>
      </c>
      <c r="B95" s="14" t="s">
        <v>24</v>
      </c>
      <c r="C95" s="49">
        <v>50</v>
      </c>
      <c r="D95" s="8">
        <v>2</v>
      </c>
      <c r="E95" s="8" t="s">
        <v>8</v>
      </c>
      <c r="F95" s="19" t="s">
        <v>12</v>
      </c>
      <c r="G95" s="19">
        <v>0.02</v>
      </c>
      <c r="H95" s="16" t="s">
        <v>10</v>
      </c>
      <c r="I95" s="17">
        <v>6863.4223770130311</v>
      </c>
      <c r="J95" s="18">
        <v>7009.8098610534944</v>
      </c>
      <c r="K95" s="30">
        <f t="shared" si="2"/>
        <v>6936.6161190332623</v>
      </c>
      <c r="L95" s="17">
        <v>5174.0128699750858</v>
      </c>
      <c r="M95" s="18">
        <v>2587.1167829420342</v>
      </c>
      <c r="N95" s="30">
        <f t="shared" si="3"/>
        <v>3880.5648264585598</v>
      </c>
    </row>
    <row r="96" spans="1:14" ht="16">
      <c r="A96" s="6" t="s">
        <v>23</v>
      </c>
      <c r="B96" s="14" t="s">
        <v>24</v>
      </c>
      <c r="C96" s="49">
        <v>50</v>
      </c>
      <c r="D96" s="8">
        <v>2</v>
      </c>
      <c r="E96" s="8" t="s">
        <v>8</v>
      </c>
      <c r="F96" s="19" t="s">
        <v>13</v>
      </c>
      <c r="G96" s="19">
        <v>2</v>
      </c>
      <c r="H96" s="16" t="s">
        <v>10</v>
      </c>
      <c r="I96" s="17">
        <v>7026.1041214420911</v>
      </c>
      <c r="J96" s="18">
        <v>6207.9897739381686</v>
      </c>
      <c r="K96" s="13">
        <f t="shared" si="2"/>
        <v>6617.0469476901299</v>
      </c>
      <c r="L96" s="17">
        <v>9375.965325951287</v>
      </c>
      <c r="M96" s="18">
        <v>7445.0375030998866</v>
      </c>
      <c r="N96" s="13">
        <f t="shared" si="3"/>
        <v>8410.5014145255864</v>
      </c>
    </row>
    <row r="97" spans="1:14" ht="16">
      <c r="A97" s="6" t="s">
        <v>23</v>
      </c>
      <c r="B97" s="14" t="s">
        <v>24</v>
      </c>
      <c r="C97" s="49">
        <v>50</v>
      </c>
      <c r="D97" s="8">
        <v>2</v>
      </c>
      <c r="E97" s="8" t="s">
        <v>8</v>
      </c>
      <c r="F97" s="19" t="s">
        <v>14</v>
      </c>
      <c r="G97" s="19">
        <v>20</v>
      </c>
      <c r="H97" s="16" t="s">
        <v>10</v>
      </c>
      <c r="I97" s="17">
        <v>12585.31747384982</v>
      </c>
      <c r="J97" s="18">
        <v>14646.001633562611</v>
      </c>
      <c r="K97" s="13">
        <f>AVERAGE(I97:J97)</f>
        <v>13615.659553706217</v>
      </c>
      <c r="L97" s="17">
        <v>16300.578120572911</v>
      </c>
      <c r="M97" s="18">
        <v>13803.53557949982</v>
      </c>
      <c r="N97" s="13">
        <f>AVERAGE(L97:M97)</f>
        <v>15052.056850036366</v>
      </c>
    </row>
    <row r="98" spans="1:14" ht="16">
      <c r="A98" s="6" t="s">
        <v>23</v>
      </c>
      <c r="B98" s="14" t="s">
        <v>24</v>
      </c>
      <c r="C98" s="49">
        <v>50</v>
      </c>
      <c r="D98" s="8">
        <v>2</v>
      </c>
      <c r="E98" s="8" t="s">
        <v>8</v>
      </c>
      <c r="F98" s="19" t="s">
        <v>15</v>
      </c>
      <c r="G98" s="19">
        <v>100</v>
      </c>
      <c r="H98" s="16" t="s">
        <v>10</v>
      </c>
      <c r="I98" s="17">
        <v>14191.388251507371</v>
      </c>
      <c r="J98" s="18">
        <v>11161.367171733134</v>
      </c>
      <c r="K98" s="30">
        <f t="shared" si="2"/>
        <v>12676.377711620253</v>
      </c>
      <c r="L98" s="17">
        <v>17744.887260022631</v>
      </c>
      <c r="M98" s="18">
        <v>16844.428485097142</v>
      </c>
      <c r="N98" s="30">
        <f t="shared" si="3"/>
        <v>17294.657872559888</v>
      </c>
    </row>
    <row r="99" spans="1:14" ht="16">
      <c r="A99" s="25" t="s">
        <v>23</v>
      </c>
      <c r="B99" s="26" t="s">
        <v>24</v>
      </c>
      <c r="C99" s="50">
        <v>50</v>
      </c>
      <c r="D99" s="27">
        <v>2</v>
      </c>
      <c r="E99" s="27" t="s">
        <v>8</v>
      </c>
      <c r="F99" s="28" t="s">
        <v>16</v>
      </c>
      <c r="G99" s="28" t="s">
        <v>35</v>
      </c>
      <c r="H99" s="29" t="s">
        <v>10</v>
      </c>
      <c r="I99" s="17">
        <v>734.19710972722282</v>
      </c>
      <c r="J99" s="18">
        <v>462.20721313180559</v>
      </c>
      <c r="K99" s="13">
        <f t="shared" si="2"/>
        <v>598.20216142951426</v>
      </c>
      <c r="L99" s="17">
        <v>16155.262061545314</v>
      </c>
      <c r="M99" s="18">
        <v>16778.784172358501</v>
      </c>
      <c r="N99" s="13">
        <f t="shared" si="3"/>
        <v>16467.023116951907</v>
      </c>
    </row>
    <row r="100" spans="1:14" ht="16">
      <c r="A100" s="6" t="s">
        <v>23</v>
      </c>
      <c r="B100" s="14" t="s">
        <v>24</v>
      </c>
      <c r="C100" s="49">
        <v>50</v>
      </c>
      <c r="D100" s="8">
        <v>3</v>
      </c>
      <c r="E100" s="8" t="s">
        <v>8</v>
      </c>
      <c r="F100" s="9" t="s">
        <v>9</v>
      </c>
      <c r="G100" s="9">
        <v>0</v>
      </c>
      <c r="H100" s="16" t="s">
        <v>10</v>
      </c>
      <c r="I100" s="17">
        <v>73.52474824888499</v>
      </c>
      <c r="J100" s="18">
        <v>81.724332845930562</v>
      </c>
      <c r="K100" s="13">
        <f t="shared" si="2"/>
        <v>77.624540547407776</v>
      </c>
      <c r="L100" s="17">
        <v>93.92124426146124</v>
      </c>
      <c r="M100" s="18">
        <v>375.15755553864852</v>
      </c>
      <c r="N100" s="13">
        <f t="shared" si="3"/>
        <v>234.53939990005489</v>
      </c>
    </row>
    <row r="101" spans="1:14" ht="17" thickBot="1">
      <c r="A101" s="6" t="s">
        <v>23</v>
      </c>
      <c r="B101" s="14" t="s">
        <v>24</v>
      </c>
      <c r="C101" s="49">
        <v>50</v>
      </c>
      <c r="D101" s="8">
        <v>3</v>
      </c>
      <c r="E101" s="8" t="s">
        <v>8</v>
      </c>
      <c r="F101" s="15" t="s">
        <v>11</v>
      </c>
      <c r="G101" s="15">
        <v>2E-3</v>
      </c>
      <c r="H101" s="16" t="s">
        <v>10</v>
      </c>
      <c r="I101" s="40">
        <v>133.34331330360914</v>
      </c>
      <c r="J101" s="41">
        <v>1010.6731144275192</v>
      </c>
      <c r="K101" s="39">
        <f t="shared" si="2"/>
        <v>572.00821386556413</v>
      </c>
      <c r="L101" s="40">
        <v>1157.9925725860996</v>
      </c>
      <c r="M101" s="41">
        <v>397.93642157443969</v>
      </c>
      <c r="N101" s="39">
        <f t="shared" si="3"/>
        <v>777.96449708026967</v>
      </c>
    </row>
    <row r="102" spans="1:14" ht="16">
      <c r="A102" s="6" t="s">
        <v>23</v>
      </c>
      <c r="B102" s="14" t="s">
        <v>24</v>
      </c>
      <c r="C102" s="49">
        <v>50</v>
      </c>
      <c r="D102" s="8">
        <v>3</v>
      </c>
      <c r="E102" s="8" t="s">
        <v>8</v>
      </c>
      <c r="F102" s="19" t="s">
        <v>12</v>
      </c>
      <c r="G102" s="19">
        <v>0.02</v>
      </c>
      <c r="H102" s="16" t="s">
        <v>10</v>
      </c>
      <c r="I102" s="11">
        <v>784.50311691881564</v>
      </c>
      <c r="J102" s="12">
        <v>312.20861897244851</v>
      </c>
      <c r="K102" s="13">
        <f t="shared" si="2"/>
        <v>548.3558679456321</v>
      </c>
      <c r="L102" s="11">
        <v>1084.5052583964216</v>
      </c>
      <c r="M102" s="12">
        <v>1618.0214594859867</v>
      </c>
      <c r="N102" s="13">
        <f t="shared" si="3"/>
        <v>1351.2633589412042</v>
      </c>
    </row>
    <row r="103" spans="1:14" ht="16">
      <c r="A103" s="6" t="s">
        <v>23</v>
      </c>
      <c r="B103" s="14" t="s">
        <v>24</v>
      </c>
      <c r="C103" s="49">
        <v>50</v>
      </c>
      <c r="D103" s="8">
        <v>3</v>
      </c>
      <c r="E103" s="8" t="s">
        <v>8</v>
      </c>
      <c r="F103" s="19" t="s">
        <v>13</v>
      </c>
      <c r="G103" s="19">
        <v>2</v>
      </c>
      <c r="H103" s="16" t="s">
        <v>10</v>
      </c>
      <c r="I103" s="17">
        <v>2298.887677147568</v>
      </c>
      <c r="J103" s="18">
        <v>2317.2255746641181</v>
      </c>
      <c r="K103" s="13">
        <f t="shared" si="2"/>
        <v>2308.0566259058432</v>
      </c>
      <c r="L103" s="17">
        <v>3299.6497895965504</v>
      </c>
      <c r="M103" s="18">
        <v>3749.0767396241486</v>
      </c>
      <c r="N103" s="13">
        <f t="shared" si="3"/>
        <v>3524.3632646103497</v>
      </c>
    </row>
    <row r="104" spans="1:14" ht="16">
      <c r="A104" s="6" t="s">
        <v>23</v>
      </c>
      <c r="B104" s="14" t="s">
        <v>24</v>
      </c>
      <c r="C104" s="49">
        <v>50</v>
      </c>
      <c r="D104" s="8">
        <v>3</v>
      </c>
      <c r="E104" s="8" t="s">
        <v>8</v>
      </c>
      <c r="F104" s="19" t="s">
        <v>14</v>
      </c>
      <c r="G104" s="19">
        <v>20</v>
      </c>
      <c r="H104" s="16" t="s">
        <v>10</v>
      </c>
      <c r="I104" s="17">
        <v>3552.013676686186</v>
      </c>
      <c r="J104" s="18">
        <v>2858.2041376944208</v>
      </c>
      <c r="K104" s="30">
        <f t="shared" si="2"/>
        <v>3205.1089071903034</v>
      </c>
      <c r="L104" s="17">
        <v>7873.8331334586792</v>
      </c>
      <c r="M104" s="18">
        <v>9786.8193818969321</v>
      </c>
      <c r="N104" s="30">
        <f t="shared" si="3"/>
        <v>8830.3262576778052</v>
      </c>
    </row>
    <row r="105" spans="1:14" ht="16">
      <c r="A105" s="6" t="s">
        <v>23</v>
      </c>
      <c r="B105" s="14" t="s">
        <v>24</v>
      </c>
      <c r="C105" s="49">
        <v>50</v>
      </c>
      <c r="D105" s="8">
        <v>3</v>
      </c>
      <c r="E105" s="8" t="s">
        <v>8</v>
      </c>
      <c r="F105" s="19" t="s">
        <v>15</v>
      </c>
      <c r="G105" s="19">
        <v>100</v>
      </c>
      <c r="H105" s="16" t="s">
        <v>10</v>
      </c>
      <c r="I105" s="17">
        <v>5836.5660393042144</v>
      </c>
      <c r="J105" s="18">
        <v>2655.6661600096581</v>
      </c>
      <c r="K105" s="13">
        <f t="shared" si="2"/>
        <v>4246.1160996569361</v>
      </c>
      <c r="L105" s="17">
        <v>15283.578404056578</v>
      </c>
      <c r="M105" s="18">
        <v>16863.184362034131</v>
      </c>
      <c r="N105" s="13">
        <f t="shared" si="3"/>
        <v>16073.381383045355</v>
      </c>
    </row>
    <row r="106" spans="1:14" ht="17" thickBot="1">
      <c r="A106" s="2" t="s">
        <v>23</v>
      </c>
      <c r="B106" s="33" t="s">
        <v>24</v>
      </c>
      <c r="C106" s="51">
        <v>50</v>
      </c>
      <c r="D106" s="34">
        <v>3</v>
      </c>
      <c r="E106" s="34" t="s">
        <v>8</v>
      </c>
      <c r="F106" s="35" t="s">
        <v>16</v>
      </c>
      <c r="G106" s="28" t="s">
        <v>35</v>
      </c>
      <c r="H106" s="36" t="s">
        <v>10</v>
      </c>
      <c r="I106" s="40">
        <v>520.13983657724907</v>
      </c>
      <c r="J106" s="41">
        <v>451.46314300594344</v>
      </c>
      <c r="K106" s="39">
        <f t="shared" si="2"/>
        <v>485.80148979159628</v>
      </c>
      <c r="L106" s="40">
        <v>10833.212127469673</v>
      </c>
      <c r="M106" s="41">
        <v>9744.7940773383507</v>
      </c>
      <c r="N106" s="39">
        <f t="shared" si="3"/>
        <v>10289.003102404011</v>
      </c>
    </row>
    <row r="107" spans="1:14" ht="16">
      <c r="A107" s="6" t="s">
        <v>25</v>
      </c>
      <c r="B107" s="7" t="s">
        <v>26</v>
      </c>
      <c r="C107" s="49">
        <v>0</v>
      </c>
      <c r="D107" s="8">
        <v>1</v>
      </c>
      <c r="E107" s="8" t="s">
        <v>8</v>
      </c>
      <c r="F107" s="9" t="s">
        <v>9</v>
      </c>
      <c r="G107" s="9">
        <v>0</v>
      </c>
      <c r="H107" s="16" t="s">
        <v>10</v>
      </c>
      <c r="I107" s="11">
        <v>5.6091847624182911</v>
      </c>
      <c r="J107" s="12">
        <v>202.49527696747879</v>
      </c>
      <c r="K107" s="30">
        <f t="shared" si="2"/>
        <v>104.05223086494854</v>
      </c>
      <c r="L107" s="11">
        <v>227.47415552020036</v>
      </c>
      <c r="M107" s="12">
        <v>63.286974462950987</v>
      </c>
      <c r="N107" s="30">
        <f t="shared" si="3"/>
        <v>145.38056499157568</v>
      </c>
    </row>
    <row r="108" spans="1:14" ht="16">
      <c r="A108" s="6" t="s">
        <v>25</v>
      </c>
      <c r="B108" s="14" t="s">
        <v>26</v>
      </c>
      <c r="C108" s="49">
        <v>0</v>
      </c>
      <c r="D108" s="8">
        <v>1</v>
      </c>
      <c r="E108" s="8" t="s">
        <v>8</v>
      </c>
      <c r="F108" s="15" t="s">
        <v>11</v>
      </c>
      <c r="G108" s="15">
        <v>2E-3</v>
      </c>
      <c r="H108" s="16" t="s">
        <v>10</v>
      </c>
      <c r="I108" s="17">
        <v>123.17571348964407</v>
      </c>
      <c r="J108" s="18">
        <v>126.50539590004685</v>
      </c>
      <c r="K108" s="13">
        <f t="shared" si="2"/>
        <v>124.84055469484545</v>
      </c>
      <c r="L108" s="17">
        <v>90.470392440429904</v>
      </c>
      <c r="M108" s="18">
        <v>18.640181197806594</v>
      </c>
      <c r="N108" s="13">
        <f t="shared" si="3"/>
        <v>54.555286819118251</v>
      </c>
    </row>
    <row r="109" spans="1:14" ht="16">
      <c r="A109" s="6" t="s">
        <v>25</v>
      </c>
      <c r="B109" s="14" t="s">
        <v>26</v>
      </c>
      <c r="C109" s="49">
        <v>0</v>
      </c>
      <c r="D109" s="8">
        <v>1</v>
      </c>
      <c r="E109" s="8" t="s">
        <v>8</v>
      </c>
      <c r="F109" s="19" t="s">
        <v>12</v>
      </c>
      <c r="G109" s="19">
        <v>0.02</v>
      </c>
      <c r="H109" s="16" t="s">
        <v>10</v>
      </c>
      <c r="I109" s="17">
        <v>81.119792227914914</v>
      </c>
      <c r="J109" s="18">
        <v>41.969220937617315</v>
      </c>
      <c r="K109" s="13">
        <f t="shared" si="2"/>
        <v>61.544506582766118</v>
      </c>
      <c r="L109" s="17">
        <v>186.27689285584455</v>
      </c>
      <c r="M109" s="18">
        <v>543.75710983470242</v>
      </c>
      <c r="N109" s="13">
        <f t="shared" si="3"/>
        <v>365.01700134527346</v>
      </c>
    </row>
    <row r="110" spans="1:14" ht="16">
      <c r="A110" s="6" t="s">
        <v>25</v>
      </c>
      <c r="B110" s="14" t="s">
        <v>26</v>
      </c>
      <c r="C110" s="49">
        <v>0</v>
      </c>
      <c r="D110" s="8">
        <v>1</v>
      </c>
      <c r="E110" s="8" t="s">
        <v>8</v>
      </c>
      <c r="F110" s="19" t="s">
        <v>13</v>
      </c>
      <c r="G110" s="19">
        <v>2</v>
      </c>
      <c r="H110" s="16" t="s">
        <v>10</v>
      </c>
      <c r="I110" s="17">
        <v>41.969220937617315</v>
      </c>
      <c r="J110" s="18">
        <v>33.504221584025238</v>
      </c>
      <c r="K110" s="30">
        <f t="shared" si="2"/>
        <v>37.736721260821277</v>
      </c>
      <c r="L110" s="17">
        <v>86.421833540478673</v>
      </c>
      <c r="M110" s="18">
        <v>29.818046846656987</v>
      </c>
      <c r="N110" s="30">
        <f t="shared" si="3"/>
        <v>58.119940193567828</v>
      </c>
    </row>
    <row r="111" spans="1:14" ht="16">
      <c r="A111" s="6" t="s">
        <v>25</v>
      </c>
      <c r="B111" s="14" t="s">
        <v>26</v>
      </c>
      <c r="C111" s="49">
        <v>0</v>
      </c>
      <c r="D111" s="8">
        <v>1</v>
      </c>
      <c r="E111" s="8" t="s">
        <v>8</v>
      </c>
      <c r="F111" s="19" t="s">
        <v>14</v>
      </c>
      <c r="G111" s="19">
        <v>20</v>
      </c>
      <c r="H111" s="16" t="s">
        <v>10</v>
      </c>
      <c r="I111" s="17">
        <v>33.504221584025238</v>
      </c>
      <c r="J111" s="18">
        <v>25.32694119074165</v>
      </c>
      <c r="K111" s="13">
        <f t="shared" si="2"/>
        <v>29.415581387383444</v>
      </c>
      <c r="L111" s="17">
        <v>63.286974462950987</v>
      </c>
      <c r="M111" s="18">
        <v>111.475414312697</v>
      </c>
      <c r="N111" s="13">
        <f t="shared" si="3"/>
        <v>87.381194387823996</v>
      </c>
    </row>
    <row r="112" spans="1:14" ht="16">
      <c r="A112" s="6" t="s">
        <v>25</v>
      </c>
      <c r="B112" s="14" t="s">
        <v>26</v>
      </c>
      <c r="C112" s="49">
        <v>0</v>
      </c>
      <c r="D112" s="8">
        <v>1</v>
      </c>
      <c r="E112" s="8" t="s">
        <v>8</v>
      </c>
      <c r="F112" s="19" t="s">
        <v>15</v>
      </c>
      <c r="G112" s="19">
        <v>100</v>
      </c>
      <c r="H112" s="16" t="s">
        <v>10</v>
      </c>
      <c r="I112" s="17">
        <v>198.9399117227558</v>
      </c>
      <c r="J112" s="18">
        <v>25.32694119074165</v>
      </c>
      <c r="K112" s="13">
        <f t="shared" si="2"/>
        <v>112.13342645674872</v>
      </c>
      <c r="L112" s="17">
        <v>598.74327250175611</v>
      </c>
      <c r="M112" s="18">
        <v>334.00148671703187</v>
      </c>
      <c r="N112" s="13">
        <f t="shared" si="3"/>
        <v>466.37237960939399</v>
      </c>
    </row>
    <row r="113" spans="1:14" ht="16">
      <c r="A113" s="25" t="s">
        <v>25</v>
      </c>
      <c r="B113" s="26" t="s">
        <v>26</v>
      </c>
      <c r="C113" s="26">
        <v>0</v>
      </c>
      <c r="D113" s="27">
        <v>1</v>
      </c>
      <c r="E113" s="27" t="s">
        <v>8</v>
      </c>
      <c r="F113" s="44" t="s">
        <v>16</v>
      </c>
      <c r="G113" s="28" t="s">
        <v>35</v>
      </c>
      <c r="H113" s="29" t="s">
        <v>10</v>
      </c>
      <c r="I113" s="17">
        <v>440.65031882550181</v>
      </c>
      <c r="J113" s="18">
        <v>699.00240512084281</v>
      </c>
      <c r="K113" s="30">
        <f t="shared" si="2"/>
        <v>569.82636197317231</v>
      </c>
      <c r="L113" s="17">
        <v>20208.869560479183</v>
      </c>
      <c r="M113" s="18">
        <v>11769.33782792451</v>
      </c>
      <c r="N113" s="30">
        <f t="shared" si="3"/>
        <v>15989.103694201847</v>
      </c>
    </row>
    <row r="114" spans="1:14" ht="16">
      <c r="A114" s="6" t="s">
        <v>25</v>
      </c>
      <c r="B114" s="14" t="s">
        <v>26</v>
      </c>
      <c r="C114" s="49">
        <v>0</v>
      </c>
      <c r="D114" s="8">
        <v>2</v>
      </c>
      <c r="E114" s="8" t="s">
        <v>8</v>
      </c>
      <c r="F114" s="9" t="s">
        <v>9</v>
      </c>
      <c r="G114" s="9">
        <v>0</v>
      </c>
      <c r="H114" s="16" t="s">
        <v>10</v>
      </c>
      <c r="I114" s="17">
        <v>573.94450989334064</v>
      </c>
      <c r="J114" s="18">
        <v>10.145995689033004</v>
      </c>
      <c r="K114" s="13">
        <f t="shared" si="2"/>
        <v>292.04525279118684</v>
      </c>
      <c r="L114" s="17">
        <v>691.21158898577676</v>
      </c>
      <c r="M114" s="18">
        <v>201.45142971949426</v>
      </c>
      <c r="N114" s="13">
        <f t="shared" si="3"/>
        <v>446.33150935263552</v>
      </c>
    </row>
    <row r="115" spans="1:14" ht="16">
      <c r="A115" s="6" t="s">
        <v>25</v>
      </c>
      <c r="B115" s="14" t="s">
        <v>26</v>
      </c>
      <c r="C115" s="49">
        <v>0</v>
      </c>
      <c r="D115" s="8">
        <v>2</v>
      </c>
      <c r="E115" s="8" t="s">
        <v>8</v>
      </c>
      <c r="F115" s="15" t="s">
        <v>11</v>
      </c>
      <c r="G115" s="15">
        <v>2E-3</v>
      </c>
      <c r="H115" s="16" t="s">
        <v>10</v>
      </c>
      <c r="I115" s="17">
        <v>25.32694119074165</v>
      </c>
      <c r="J115" s="18">
        <v>30.743831481099992</v>
      </c>
      <c r="K115" s="13">
        <f t="shared" si="2"/>
        <v>28.035386335920819</v>
      </c>
      <c r="L115" s="17">
        <v>1145.7071477712352</v>
      </c>
      <c r="M115" s="18">
        <v>63.286974462950987</v>
      </c>
      <c r="N115" s="13">
        <f t="shared" si="3"/>
        <v>604.49706111709315</v>
      </c>
    </row>
    <row r="116" spans="1:14" ht="16">
      <c r="A116" s="6" t="s">
        <v>25</v>
      </c>
      <c r="B116" s="14" t="s">
        <v>26</v>
      </c>
      <c r="C116" s="49">
        <v>0</v>
      </c>
      <c r="D116" s="8">
        <v>2</v>
      </c>
      <c r="E116" s="8" t="s">
        <v>8</v>
      </c>
      <c r="F116" s="19" t="s">
        <v>12</v>
      </c>
      <c r="G116" s="19">
        <v>0.02</v>
      </c>
      <c r="H116" s="16" t="s">
        <v>10</v>
      </c>
      <c r="I116" s="17">
        <v>41.969220937617315</v>
      </c>
      <c r="J116" s="18">
        <v>33.504221584025238</v>
      </c>
      <c r="K116" s="30">
        <f t="shared" si="2"/>
        <v>37.736721260821277</v>
      </c>
      <c r="L116" s="17">
        <v>1603.5479974729785</v>
      </c>
      <c r="M116" s="18">
        <v>52.522326346512237</v>
      </c>
      <c r="N116" s="30">
        <f t="shared" si="3"/>
        <v>828.0351619097454</v>
      </c>
    </row>
    <row r="117" spans="1:14" ht="16">
      <c r="A117" s="6" t="s">
        <v>25</v>
      </c>
      <c r="B117" s="14" t="s">
        <v>26</v>
      </c>
      <c r="C117" s="49">
        <v>0</v>
      </c>
      <c r="D117" s="8">
        <v>2</v>
      </c>
      <c r="E117" s="8" t="s">
        <v>8</v>
      </c>
      <c r="F117" s="19" t="s">
        <v>13</v>
      </c>
      <c r="G117" s="19">
        <v>2</v>
      </c>
      <c r="H117" s="16" t="s">
        <v>10</v>
      </c>
      <c r="I117" s="17">
        <v>123.17571348964407</v>
      </c>
      <c r="J117" s="18">
        <v>65.653608853422838</v>
      </c>
      <c r="K117" s="13">
        <f t="shared" si="2"/>
        <v>94.414661171533453</v>
      </c>
      <c r="L117" s="17">
        <v>691.21158898577676</v>
      </c>
      <c r="M117" s="18">
        <v>510.16620187443863</v>
      </c>
      <c r="N117" s="13">
        <f t="shared" si="3"/>
        <v>600.68889543010766</v>
      </c>
    </row>
    <row r="118" spans="1:14" ht="16">
      <c r="A118" s="6" t="s">
        <v>25</v>
      </c>
      <c r="B118" s="14" t="s">
        <v>26</v>
      </c>
      <c r="C118" s="49">
        <v>0</v>
      </c>
      <c r="D118" s="8">
        <v>2</v>
      </c>
      <c r="E118" s="8" t="s">
        <v>8</v>
      </c>
      <c r="F118" s="19" t="s">
        <v>14</v>
      </c>
      <c r="G118" s="19">
        <v>20</v>
      </c>
      <c r="H118" s="16" t="s">
        <v>10</v>
      </c>
      <c r="I118" s="17">
        <v>28.017285376160189</v>
      </c>
      <c r="J118" s="18">
        <v>312.76310498963164</v>
      </c>
      <c r="K118" s="13">
        <f>AVERAGE(I118:J118)</f>
        <v>170.39019518289592</v>
      </c>
      <c r="L118" s="17">
        <v>5836.6657479302385</v>
      </c>
      <c r="M118" s="18">
        <v>749.94594332163854</v>
      </c>
      <c r="N118" s="13">
        <f>AVERAGE(L118:M118)</f>
        <v>3293.3058456259387</v>
      </c>
    </row>
    <row r="119" spans="1:14" ht="16">
      <c r="A119" s="6" t="s">
        <v>25</v>
      </c>
      <c r="B119" s="14" t="s">
        <v>26</v>
      </c>
      <c r="C119" s="49">
        <v>0</v>
      </c>
      <c r="D119" s="8">
        <v>2</v>
      </c>
      <c r="E119" s="8" t="s">
        <v>8</v>
      </c>
      <c r="F119" s="19" t="s">
        <v>15</v>
      </c>
      <c r="G119" s="19">
        <v>100</v>
      </c>
      <c r="H119" s="16" t="s">
        <v>10</v>
      </c>
      <c r="I119" s="17">
        <v>41.969220937617315</v>
      </c>
      <c r="J119" s="18">
        <v>25.32694119074165</v>
      </c>
      <c r="K119" s="30">
        <f t="shared" si="2"/>
        <v>33.648081064179479</v>
      </c>
      <c r="L119" s="17">
        <v>2022.9992002244692</v>
      </c>
      <c r="M119" s="18">
        <v>4440.6143301609391</v>
      </c>
      <c r="N119" s="30">
        <f t="shared" si="3"/>
        <v>3231.806765192704</v>
      </c>
    </row>
    <row r="120" spans="1:14" ht="16">
      <c r="A120" s="25" t="s">
        <v>25</v>
      </c>
      <c r="B120" s="26" t="s">
        <v>26</v>
      </c>
      <c r="C120" s="26">
        <v>0</v>
      </c>
      <c r="D120" s="27">
        <v>2</v>
      </c>
      <c r="E120" s="27" t="s">
        <v>8</v>
      </c>
      <c r="F120" s="28" t="s">
        <v>16</v>
      </c>
      <c r="G120" s="28" t="s">
        <v>35</v>
      </c>
      <c r="H120" s="29" t="s">
        <v>10</v>
      </c>
      <c r="I120" s="17">
        <v>1264.3682975994818</v>
      </c>
      <c r="J120" s="18">
        <v>1752.5554592100304</v>
      </c>
      <c r="K120" s="13">
        <f t="shared" si="2"/>
        <v>1508.4618784047561</v>
      </c>
      <c r="L120" s="17">
        <v>36980.855513871822</v>
      </c>
      <c r="M120" s="18">
        <v>66143.037716685052</v>
      </c>
      <c r="N120" s="13">
        <f t="shared" si="3"/>
        <v>51561.946615278437</v>
      </c>
    </row>
    <row r="121" spans="1:14" ht="16">
      <c r="A121" s="6" t="s">
        <v>25</v>
      </c>
      <c r="B121" s="14" t="s">
        <v>26</v>
      </c>
      <c r="C121" s="49">
        <v>0</v>
      </c>
      <c r="D121" s="8">
        <v>3</v>
      </c>
      <c r="E121" s="8" t="s">
        <v>8</v>
      </c>
      <c r="F121" s="9" t="s">
        <v>9</v>
      </c>
      <c r="G121" s="9">
        <v>0</v>
      </c>
      <c r="H121" s="16" t="s">
        <v>10</v>
      </c>
      <c r="I121" s="17">
        <v>0</v>
      </c>
      <c r="J121" s="18">
        <v>12.536113042577528</v>
      </c>
      <c r="K121" s="13">
        <f t="shared" si="2"/>
        <v>6.2680565212887638</v>
      </c>
      <c r="L121" s="17">
        <v>496.90145283411641</v>
      </c>
      <c r="M121" s="18">
        <v>648.06625088769681</v>
      </c>
      <c r="N121" s="13">
        <f t="shared" si="3"/>
        <v>572.48385186090661</v>
      </c>
    </row>
    <row r="122" spans="1:14" ht="16">
      <c r="A122" s="6" t="s">
        <v>25</v>
      </c>
      <c r="B122" s="14" t="s">
        <v>26</v>
      </c>
      <c r="C122" s="49">
        <v>0</v>
      </c>
      <c r="D122" s="8">
        <v>3</v>
      </c>
      <c r="E122" s="8" t="s">
        <v>8</v>
      </c>
      <c r="F122" s="15" t="s">
        <v>11</v>
      </c>
      <c r="G122" s="15">
        <v>2E-3</v>
      </c>
      <c r="H122" s="16" t="s">
        <v>10</v>
      </c>
      <c r="I122" s="17">
        <v>17.503310850677124</v>
      </c>
      <c r="J122" s="18">
        <v>7.8317181874504032</v>
      </c>
      <c r="K122" s="30">
        <f t="shared" si="2"/>
        <v>12.667514519063763</v>
      </c>
      <c r="L122" s="17">
        <v>35.929367577313542</v>
      </c>
      <c r="M122" s="18">
        <v>102.92468375075639</v>
      </c>
      <c r="N122" s="30">
        <f t="shared" si="3"/>
        <v>69.427025664034971</v>
      </c>
    </row>
    <row r="123" spans="1:14" ht="16">
      <c r="A123" s="6" t="s">
        <v>25</v>
      </c>
      <c r="B123" s="14" t="s">
        <v>26</v>
      </c>
      <c r="C123" s="49">
        <v>0</v>
      </c>
      <c r="D123" s="8">
        <v>3</v>
      </c>
      <c r="E123" s="8" t="s">
        <v>8</v>
      </c>
      <c r="F123" s="19" t="s">
        <v>12</v>
      </c>
      <c r="G123" s="19">
        <v>0.02</v>
      </c>
      <c r="H123" s="16" t="s">
        <v>10</v>
      </c>
      <c r="I123" s="17">
        <v>22.675549883720727</v>
      </c>
      <c r="J123" s="18">
        <v>25.32694119074165</v>
      </c>
      <c r="K123" s="13">
        <f t="shared" si="2"/>
        <v>24.001245537231188</v>
      </c>
      <c r="L123" s="17">
        <v>1281.8991240028079</v>
      </c>
      <c r="M123" s="18">
        <v>406.90890126757472</v>
      </c>
      <c r="N123" s="13">
        <f t="shared" si="3"/>
        <v>844.40401263519129</v>
      </c>
    </row>
    <row r="124" spans="1:14" ht="16">
      <c r="A124" s="6" t="s">
        <v>25</v>
      </c>
      <c r="B124" s="14" t="s">
        <v>26</v>
      </c>
      <c r="C124" s="49">
        <v>0</v>
      </c>
      <c r="D124" s="8">
        <v>3</v>
      </c>
      <c r="E124" s="8" t="s">
        <v>8</v>
      </c>
      <c r="F124" s="19" t="s">
        <v>13</v>
      </c>
      <c r="G124" s="19">
        <v>2</v>
      </c>
      <c r="H124" s="16" t="s">
        <v>10</v>
      </c>
      <c r="I124" s="17">
        <v>28.017285376160189</v>
      </c>
      <c r="J124" s="18">
        <v>68.710189293686639</v>
      </c>
      <c r="K124" s="13">
        <f t="shared" si="2"/>
        <v>48.363737334923414</v>
      </c>
      <c r="L124" s="17">
        <v>49.06352136961484</v>
      </c>
      <c r="M124" s="18">
        <v>357.84836417437003</v>
      </c>
      <c r="N124" s="13">
        <f t="shared" si="3"/>
        <v>203.45594277199243</v>
      </c>
    </row>
    <row r="125" spans="1:14" ht="16">
      <c r="A125" s="6" t="s">
        <v>25</v>
      </c>
      <c r="B125" s="14" t="s">
        <v>26</v>
      </c>
      <c r="C125" s="49">
        <v>0</v>
      </c>
      <c r="D125" s="8">
        <v>3</v>
      </c>
      <c r="E125" s="8" t="s">
        <v>8</v>
      </c>
      <c r="F125" s="19" t="s">
        <v>14</v>
      </c>
      <c r="G125" s="19">
        <v>20</v>
      </c>
      <c r="H125" s="16" t="s">
        <v>10</v>
      </c>
      <c r="I125" s="17">
        <v>30.743831481099992</v>
      </c>
      <c r="J125" s="18">
        <v>20.066366850138603</v>
      </c>
      <c r="K125" s="30">
        <f t="shared" si="2"/>
        <v>25.405099165619298</v>
      </c>
      <c r="L125" s="17">
        <v>299.12425864009498</v>
      </c>
      <c r="M125" s="18">
        <v>376.03604774187039</v>
      </c>
      <c r="N125" s="30">
        <f t="shared" si="3"/>
        <v>337.58015319098268</v>
      </c>
    </row>
    <row r="126" spans="1:14" ht="16">
      <c r="A126" s="6" t="s">
        <v>25</v>
      </c>
      <c r="B126" s="14" t="s">
        <v>26</v>
      </c>
      <c r="C126" s="49">
        <v>0</v>
      </c>
      <c r="D126" s="8">
        <v>3</v>
      </c>
      <c r="E126" s="8" t="s">
        <v>8</v>
      </c>
      <c r="F126" s="19" t="s">
        <v>15</v>
      </c>
      <c r="G126" s="19">
        <v>100</v>
      </c>
      <c r="H126" s="16" t="s">
        <v>10</v>
      </c>
      <c r="I126" s="17">
        <v>41.969220937617315</v>
      </c>
      <c r="J126" s="18">
        <v>28.017285376160189</v>
      </c>
      <c r="K126" s="13">
        <f>AVERAGE(I126:J126)</f>
        <v>34.993253156888755</v>
      </c>
      <c r="L126" s="17">
        <v>1458.0779895199144</v>
      </c>
      <c r="M126" s="18">
        <v>1369.1841086031648</v>
      </c>
      <c r="N126" s="13">
        <f>AVERAGE(L126:M126)</f>
        <v>1413.6310490615397</v>
      </c>
    </row>
    <row r="127" spans="1:14" ht="17" thickBot="1">
      <c r="A127" s="2" t="s">
        <v>25</v>
      </c>
      <c r="B127" s="33" t="s">
        <v>26</v>
      </c>
      <c r="C127" s="49">
        <v>0</v>
      </c>
      <c r="D127" s="34">
        <v>3</v>
      </c>
      <c r="E127" s="34" t="s">
        <v>8</v>
      </c>
      <c r="F127" s="35" t="s">
        <v>16</v>
      </c>
      <c r="G127" s="28" t="s">
        <v>35</v>
      </c>
      <c r="H127" s="36" t="s">
        <v>10</v>
      </c>
      <c r="I127" s="40">
        <v>350.86937385656063</v>
      </c>
      <c r="J127" s="41">
        <v>206.0592843023579</v>
      </c>
      <c r="K127" s="39">
        <f t="shared" si="2"/>
        <v>278.46432907945928</v>
      </c>
      <c r="L127" s="40">
        <v>60598.385512343331</v>
      </c>
      <c r="M127" s="41">
        <v>53416.661183184144</v>
      </c>
      <c r="N127" s="39">
        <f t="shared" si="3"/>
        <v>57007.523347763738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Pivot</vt:lpstr>
      <vt:lpstr>ELISA data</vt:lpstr>
    </vt:vector>
  </TitlesOfParts>
  <Company>Statens Serum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Woodworth</dc:creator>
  <cp:lastModifiedBy>Microsoft Office-bruger</cp:lastModifiedBy>
  <dcterms:created xsi:type="dcterms:W3CDTF">2014-09-22T13:07:42Z</dcterms:created>
  <dcterms:modified xsi:type="dcterms:W3CDTF">2018-04-02T14:00:34Z</dcterms:modified>
</cp:coreProperties>
</file>